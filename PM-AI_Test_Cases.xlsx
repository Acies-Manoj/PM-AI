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Test Cases" sheetId="3" state="visible" r:id="rId3"/>
  </sheets>
  <definedNames>
    <definedName name="_xlnm._FilterDatabase" localSheetId="2" hidden="1">'Test Cases'!$A$1:$I$70</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sz val="14"/>
    </font>
    <font>
      <name val="Arial"/>
      <b val="1"/>
    </font>
    <font>
      <name val="Arial"/>
    </font>
    <font>
      <name val="Arial"/>
      <b val="1"/>
      <color rgb="00FFFFFF"/>
    </font>
    <font>
      <name val="Arial"/>
      <sz val="10"/>
    </font>
  </fonts>
  <fills count="5">
    <fill>
      <patternFill/>
    </fill>
    <fill>
      <patternFill patternType="gray125"/>
    </fill>
    <fill>
      <patternFill patternType="solid">
        <fgColor rgb="00F2F2F2"/>
      </patternFill>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3" fillId="2" borderId="0" applyAlignment="1" pivotButton="0" quotePrefix="0" xfId="0">
      <alignment vertical="top" wrapText="1"/>
    </xf>
    <xf numFmtId="0" fontId="4" fillId="3" borderId="1" pivotButton="0" quotePrefix="0" xfId="0"/>
    <xf numFmtId="0" fontId="3" fillId="0" borderId="1" pivotButton="0" quotePrefix="0" xfId="0"/>
    <xf numFmtId="164" fontId="3" fillId="0" borderId="1" pivotButton="0" quotePrefix="0" xfId="0"/>
    <xf numFmtId="0" fontId="2" fillId="0" borderId="1" pivotButton="0" quotePrefix="0" xfId="0"/>
    <xf numFmtId="164" fontId="2" fillId="0" borderId="1" pivotButton="0" quotePrefix="0" xfId="0"/>
    <xf numFmtId="0" fontId="4" fillId="3" borderId="1" applyAlignment="1" pivotButton="0" quotePrefix="0" xfId="0">
      <alignment vertical="center" wrapText="1"/>
    </xf>
    <xf numFmtId="0" fontId="5" fillId="0" borderId="1" applyAlignment="1" pivotButton="0" quotePrefix="0" xfId="0">
      <alignment vertical="top" wrapText="1"/>
    </xf>
    <xf numFmtId="0" fontId="5" fillId="4" borderId="1" applyAlignment="1" pivotButton="0" quotePrefix="0" xfId="0">
      <alignment vertical="top" wrapText="1"/>
    </xf>
  </cellXfs>
  <cellStyles count="1">
    <cellStyle name="Normal" xfId="0" builtinId="0" hidden="0"/>
  </cellStyles>
  <dxfs count="3">
    <dxf>
      <font>
        <color rgb="00006100"/>
      </font>
      <fill>
        <patternFill patternType="solid">
          <bgColor rgb="00C6EFCE"/>
        </patternFill>
      </fill>
    </dxf>
    <dxf>
      <font>
        <color rgb="009C0006"/>
      </font>
      <fill>
        <patternFill patternType="solid">
          <bgColor rgb="00FFC7CE"/>
        </patternFill>
      </fill>
    </dxf>
    <dxf>
      <font>
        <color rgb="009C5700"/>
      </font>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10" customWidth="1" min="2" max="2"/>
  </cols>
  <sheetData>
    <row r="1">
      <c r="A1" s="1" t="inlineStr">
        <is>
          <t>PM-AI Test Cases - EDEKA shipment dataset</t>
        </is>
      </c>
    </row>
    <row r="3">
      <c r="A3" s="2" t="inlineStr">
        <is>
          <t>How to use</t>
        </is>
      </c>
      <c r="B3" s="3" t="inlineStr"/>
    </row>
    <row r="4">
      <c r="A4" s="2" t="inlineStr">
        <is>
          <t>1</t>
        </is>
      </c>
      <c r="B4" s="3" t="inlineStr">
        <is>
          <t>Upload backend/data/raw/edeka_tabular_shipment_data.xlsx (2,370 rows). A different file will give different numbers.</t>
        </is>
      </c>
    </row>
    <row r="5">
      <c r="A5" s="2" t="inlineStr">
        <is>
          <t>2</t>
        </is>
      </c>
      <c r="B5" s="3" t="inlineStr">
        <is>
          <t>Paste the client brief below on the Client Brief page, then go stage by stage.</t>
        </is>
      </c>
    </row>
    <row r="6">
      <c r="A6" s="2" t="inlineStr">
        <is>
          <t>3</t>
        </is>
      </c>
      <c r="B6" s="3" t="inlineStr">
        <is>
          <t>On 'Test Cases', type what you observed in the yellow 'Actual answer' column and pick Pass / Fail / Blocked in 'Status'.</t>
        </is>
      </c>
    </row>
    <row r="7">
      <c r="A7" s="2" t="inlineStr">
        <is>
          <t>4</t>
        </is>
      </c>
      <c r="B7" s="3" t="inlineStr">
        <is>
          <t>'Summary' counts results automatically. Expected values were computed from the file; chart choices come from the template catalog. Drill-down wording is LLM-generated, so judge the idea, not the exact words.</t>
        </is>
      </c>
    </row>
    <row r="8">
      <c r="A8" s="2" t="inlineStr"/>
      <c r="B8" s="3" t="inlineStr"/>
    </row>
    <row r="9">
      <c r="A9" s="2" t="inlineStr">
        <is>
          <t>Client brief to paste</t>
        </is>
      </c>
      <c r="B9" s="3" t="inlineStr"/>
    </row>
    <row r="10" ht="120" customHeight="1">
      <c r="A10" s="2" t="inlineStr"/>
      <c r="B10" s="4" t="inlineStr">
        <is>
          <t>We ship fresh produce (mostly table grapes and stone fruit) into Germany for EDEKA. Show me how many shipments we get by carrier and by destination, and rank the top 5 origins by volume. I want the share of shipments by mode of transport. Calculate transit time for each shipment. Flag shipments that arrived late against the planned arrival. Tell me the percentage of shipments in spec for each product, and show the alarm rate by carrier and how it changes month to month. Also show the trend of average temperature. Use 8°C as the maximum temperature. Flag high-risk shipments, but I haven't decided what "high-risk" means. Finally, show revenue by carrier.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1" customWidth="1" min="2" max="2"/>
    <col width="11" customWidth="1" min="3" max="3"/>
    <col width="11" customWidth="1" min="4" max="4"/>
    <col width="11" customWidth="1" min="5" max="5"/>
    <col width="11" customWidth="1" min="6" max="6"/>
    <col width="11" customWidth="1" min="7" max="7"/>
  </cols>
  <sheetData>
    <row r="1">
      <c r="A1" s="1" t="inlineStr">
        <is>
          <t>Results by stage</t>
        </is>
      </c>
    </row>
    <row r="3">
      <c r="A3" s="5" t="inlineStr">
        <is>
          <t>Stage</t>
        </is>
      </c>
      <c r="B3" s="5" t="inlineStr">
        <is>
          <t>Total</t>
        </is>
      </c>
      <c r="C3" s="5" t="inlineStr">
        <is>
          <t>Pass</t>
        </is>
      </c>
      <c r="D3" s="5" t="inlineStr">
        <is>
          <t>Fail</t>
        </is>
      </c>
      <c r="E3" s="5" t="inlineStr">
        <is>
          <t>Blocked</t>
        </is>
      </c>
      <c r="F3" s="5" t="inlineStr">
        <is>
          <t>Not run</t>
        </is>
      </c>
      <c r="G3" s="5" t="inlineStr">
        <is>
          <t>Pass %</t>
        </is>
      </c>
    </row>
    <row r="4">
      <c r="A4" s="6" t="inlineStr">
        <is>
          <t>1. Client brief / Planner</t>
        </is>
      </c>
      <c r="B4" s="6">
        <f>COUNTIF('Test Cases'!$B$2:$B$70,A4)</f>
        <v/>
      </c>
      <c r="C4" s="6">
        <f>COUNTIFS('Test Cases'!$B$2:$B$70,$A4,'Test Cases'!$H$2:$H$70,"Pass")</f>
        <v/>
      </c>
      <c r="D4" s="6">
        <f>COUNTIFS('Test Cases'!$B$2:$B$70,$A4,'Test Cases'!$H$2:$H$70,"Fail")</f>
        <v/>
      </c>
      <c r="E4" s="6">
        <f>COUNTIFS('Test Cases'!$B$2:$B$70,$A4,'Test Cases'!$H$2:$H$70,"Blocked")</f>
        <v/>
      </c>
      <c r="F4" s="6">
        <f>COUNTIFS('Test Cases'!$B$2:$B$70,$A4,'Test Cases'!$H$2:$H$70,"Not run")</f>
        <v/>
      </c>
      <c r="G4" s="7">
        <f>IF(B4=0,0,C4/B4)</f>
        <v/>
      </c>
    </row>
    <row r="5">
      <c r="A5" s="6" t="inlineStr">
        <is>
          <t>2. Planner formula / spec display</t>
        </is>
      </c>
      <c r="B5" s="6">
        <f>COUNTIF('Test Cases'!$B$2:$B$70,A5)</f>
        <v/>
      </c>
      <c r="C5" s="6">
        <f>COUNTIFS('Test Cases'!$B$2:$B$70,$A5,'Test Cases'!$H$2:$H$70,"Pass")</f>
        <v/>
      </c>
      <c r="D5" s="6">
        <f>COUNTIFS('Test Cases'!$B$2:$B$70,$A5,'Test Cases'!$H$2:$H$70,"Fail")</f>
        <v/>
      </c>
      <c r="E5" s="6">
        <f>COUNTIFS('Test Cases'!$B$2:$B$70,$A5,'Test Cases'!$H$2:$H$70,"Blocked")</f>
        <v/>
      </c>
      <c r="F5" s="6">
        <f>COUNTIFS('Test Cases'!$B$2:$B$70,$A5,'Test Cases'!$H$2:$H$70,"Not run")</f>
        <v/>
      </c>
      <c r="G5" s="7">
        <f>IF(B5=0,0,C5/B5)</f>
        <v/>
      </c>
    </row>
    <row r="6">
      <c r="A6" s="6" t="inlineStr">
        <is>
          <t>3. Audit</t>
        </is>
      </c>
      <c r="B6" s="6">
        <f>COUNTIF('Test Cases'!$B$2:$B$70,A6)</f>
        <v/>
      </c>
      <c r="C6" s="6">
        <f>COUNTIFS('Test Cases'!$B$2:$B$70,$A6,'Test Cases'!$H$2:$H$70,"Pass")</f>
        <v/>
      </c>
      <c r="D6" s="6">
        <f>COUNTIFS('Test Cases'!$B$2:$B$70,$A6,'Test Cases'!$H$2:$H$70,"Fail")</f>
        <v/>
      </c>
      <c r="E6" s="6">
        <f>COUNTIFS('Test Cases'!$B$2:$B$70,$A6,'Test Cases'!$H$2:$H$70,"Blocked")</f>
        <v/>
      </c>
      <c r="F6" s="6">
        <f>COUNTIFS('Test Cases'!$B$2:$B$70,$A6,'Test Cases'!$H$2:$H$70,"Not run")</f>
        <v/>
      </c>
      <c r="G6" s="7">
        <f>IF(B6=0,0,C6/B6)</f>
        <v/>
      </c>
    </row>
    <row r="7">
      <c r="A7" s="6" t="inlineStr">
        <is>
          <t>4. Features</t>
        </is>
      </c>
      <c r="B7" s="6">
        <f>COUNTIF('Test Cases'!$B$2:$B$70,A7)</f>
        <v/>
      </c>
      <c r="C7" s="6">
        <f>COUNTIFS('Test Cases'!$B$2:$B$70,$A7,'Test Cases'!$H$2:$H$70,"Pass")</f>
        <v/>
      </c>
      <c r="D7" s="6">
        <f>COUNTIFS('Test Cases'!$B$2:$B$70,$A7,'Test Cases'!$H$2:$H$70,"Fail")</f>
        <v/>
      </c>
      <c r="E7" s="6">
        <f>COUNTIFS('Test Cases'!$B$2:$B$70,$A7,'Test Cases'!$H$2:$H$70,"Blocked")</f>
        <v/>
      </c>
      <c r="F7" s="6">
        <f>COUNTIFS('Test Cases'!$B$2:$B$70,$A7,'Test Cases'!$H$2:$H$70,"Not run")</f>
        <v/>
      </c>
      <c r="G7" s="7">
        <f>IF(B7=0,0,C7/B7)</f>
        <v/>
      </c>
    </row>
    <row r="8">
      <c r="A8" s="6" t="inlineStr">
        <is>
          <t>5. Analyses</t>
        </is>
      </c>
      <c r="B8" s="6">
        <f>COUNTIF('Test Cases'!$B$2:$B$70,A8)</f>
        <v/>
      </c>
      <c r="C8" s="6">
        <f>COUNTIFS('Test Cases'!$B$2:$B$70,$A8,'Test Cases'!$H$2:$H$70,"Pass")</f>
        <v/>
      </c>
      <c r="D8" s="6">
        <f>COUNTIFS('Test Cases'!$B$2:$B$70,$A8,'Test Cases'!$H$2:$H$70,"Fail")</f>
        <v/>
      </c>
      <c r="E8" s="6">
        <f>COUNTIFS('Test Cases'!$B$2:$B$70,$A8,'Test Cases'!$H$2:$H$70,"Blocked")</f>
        <v/>
      </c>
      <c r="F8" s="6">
        <f>COUNTIFS('Test Cases'!$B$2:$B$70,$A8,'Test Cases'!$H$2:$H$70,"Not run")</f>
        <v/>
      </c>
      <c r="G8" s="7">
        <f>IF(B8=0,0,C8/B8)</f>
        <v/>
      </c>
    </row>
    <row r="9">
      <c r="A9" s="6" t="inlineStr">
        <is>
          <t>6. Drill-downs</t>
        </is>
      </c>
      <c r="B9" s="6">
        <f>COUNTIF('Test Cases'!$B$2:$B$70,A9)</f>
        <v/>
      </c>
      <c r="C9" s="6">
        <f>COUNTIFS('Test Cases'!$B$2:$B$70,$A9,'Test Cases'!$H$2:$H$70,"Pass")</f>
        <v/>
      </c>
      <c r="D9" s="6">
        <f>COUNTIFS('Test Cases'!$B$2:$B$70,$A9,'Test Cases'!$H$2:$H$70,"Fail")</f>
        <v/>
      </c>
      <c r="E9" s="6">
        <f>COUNTIFS('Test Cases'!$B$2:$B$70,$A9,'Test Cases'!$H$2:$H$70,"Blocked")</f>
        <v/>
      </c>
      <c r="F9" s="6">
        <f>COUNTIFS('Test Cases'!$B$2:$B$70,$A9,'Test Cases'!$H$2:$H$70,"Not run")</f>
        <v/>
      </c>
      <c r="G9" s="7">
        <f>IF(B9=0,0,C9/B9)</f>
        <v/>
      </c>
    </row>
    <row r="10">
      <c r="A10" s="6" t="inlineStr">
        <is>
          <t>7. Report</t>
        </is>
      </c>
      <c r="B10" s="6">
        <f>COUNTIF('Test Cases'!$B$2:$B$70,A10)</f>
        <v/>
      </c>
      <c r="C10" s="6">
        <f>COUNTIFS('Test Cases'!$B$2:$B$70,$A10,'Test Cases'!$H$2:$H$70,"Pass")</f>
        <v/>
      </c>
      <c r="D10" s="6">
        <f>COUNTIFS('Test Cases'!$B$2:$B$70,$A10,'Test Cases'!$H$2:$H$70,"Fail")</f>
        <v/>
      </c>
      <c r="E10" s="6">
        <f>COUNTIFS('Test Cases'!$B$2:$B$70,$A10,'Test Cases'!$H$2:$H$70,"Blocked")</f>
        <v/>
      </c>
      <c r="F10" s="6">
        <f>COUNTIFS('Test Cases'!$B$2:$B$70,$A10,'Test Cases'!$H$2:$H$70,"Not run")</f>
        <v/>
      </c>
      <c r="G10" s="7">
        <f>IF(B10=0,0,C10/B10)</f>
        <v/>
      </c>
    </row>
    <row r="11">
      <c r="A11" s="8" t="inlineStr">
        <is>
          <t>Total</t>
        </is>
      </c>
      <c r="B11" s="8">
        <f>SUM(B4:B10)</f>
        <v/>
      </c>
      <c r="C11" s="8">
        <f>SUM(C4:C10)</f>
        <v/>
      </c>
      <c r="D11" s="8">
        <f>SUM(D4:D10)</f>
        <v/>
      </c>
      <c r="E11" s="8">
        <f>SUM(E4:E10)</f>
        <v/>
      </c>
      <c r="F11" s="8">
        <f>SUM(F4:F10)</f>
        <v/>
      </c>
      <c r="G11" s="9">
        <f>IF(B11=0,0,C11/B11)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18" customWidth="1" min="3" max="3"/>
    <col width="44" customWidth="1" min="4" max="4"/>
    <col width="60" customWidth="1" min="5" max="5"/>
    <col width="28" customWidth="1" min="6" max="6"/>
    <col width="44" customWidth="1" min="7" max="7"/>
    <col width="12" customWidth="1" min="8" max="8"/>
    <col width="30" customWidth="1" min="9" max="9"/>
  </cols>
  <sheetData>
    <row r="1" ht="32" customHeight="1">
      <c r="A1" s="10" t="inlineStr">
        <is>
          <t>ID</t>
        </is>
      </c>
      <c r="B1" s="10" t="inlineStr">
        <is>
          <t>Stage</t>
        </is>
      </c>
      <c r="C1" s="10" t="inlineStr">
        <is>
          <t>Area</t>
        </is>
      </c>
      <c r="D1" s="10" t="inlineStr">
        <is>
          <t>Test case / input</t>
        </is>
      </c>
      <c r="E1" s="10" t="inlineStr">
        <is>
          <t>Expected answer (correct)</t>
        </is>
      </c>
      <c r="F1" s="10" t="inlineStr">
        <is>
          <t>Expected chart / drill-down</t>
        </is>
      </c>
      <c r="G1" s="10" t="inlineStr">
        <is>
          <t>Actual answer (fill in)</t>
        </is>
      </c>
      <c r="H1" s="10" t="inlineStr">
        <is>
          <t>Status</t>
        </is>
      </c>
      <c r="I1" s="10" t="inlineStr">
        <is>
          <t>Notes</t>
        </is>
      </c>
    </row>
    <row r="2">
      <c r="A2" s="11" t="inlineStr">
        <is>
          <t>T001</t>
        </is>
      </c>
      <c r="B2" s="11" t="inlineStr">
        <is>
          <t>1. Client brief / Planner</t>
        </is>
      </c>
      <c r="C2" s="11" t="inlineStr">
        <is>
          <t>Analysis</t>
        </is>
      </c>
      <c r="D2" s="11" t="inlineStr">
        <is>
          <t>Brief: shipments by carrier</t>
        </is>
      </c>
      <c r="E2" s="11" t="inlineStr">
        <is>
          <t>Analysis card, status New, required field Carrier</t>
        </is>
      </c>
      <c r="F2" s="11" t="inlineStr">
        <is>
          <t>-</t>
        </is>
      </c>
      <c r="G2" s="12" t="n"/>
      <c r="H2" s="12" t="inlineStr">
        <is>
          <t>Not run</t>
        </is>
      </c>
      <c r="I2" s="12" t="n"/>
    </row>
    <row r="3">
      <c r="A3" s="11" t="inlineStr">
        <is>
          <t>T002</t>
        </is>
      </c>
      <c r="B3" s="11" t="inlineStr">
        <is>
          <t>1. Client brief / Planner</t>
        </is>
      </c>
      <c r="C3" s="11" t="inlineStr">
        <is>
          <t>Analysis</t>
        </is>
      </c>
      <c r="D3" s="11" t="inlineStr">
        <is>
          <t>Brief: shipments by destination</t>
        </is>
      </c>
      <c r="E3" s="11" t="inlineStr">
        <is>
          <t>Separate analysis card (not merged with carrier), field Destination</t>
        </is>
      </c>
      <c r="F3" s="11" t="inlineStr">
        <is>
          <t>-</t>
        </is>
      </c>
      <c r="G3" s="12" t="n"/>
      <c r="H3" s="12" t="inlineStr">
        <is>
          <t>Not run</t>
        </is>
      </c>
      <c r="I3" s="12" t="n"/>
    </row>
    <row r="4">
      <c r="A4" s="11" t="inlineStr">
        <is>
          <t>T003</t>
        </is>
      </c>
      <c r="B4" s="11" t="inlineStr">
        <is>
          <t>1. Client brief / Planner</t>
        </is>
      </c>
      <c r="C4" s="11" t="inlineStr">
        <is>
          <t>Analysis</t>
        </is>
      </c>
      <c r="D4" s="11" t="inlineStr">
        <is>
          <t>Brief: top 5 origins by volume</t>
        </is>
      </c>
      <c r="E4" s="11" t="inlineStr">
        <is>
          <t>Analysis card, field Origin</t>
        </is>
      </c>
      <c r="F4" s="11" t="inlineStr">
        <is>
          <t>-</t>
        </is>
      </c>
      <c r="G4" s="12" t="n"/>
      <c r="H4" s="12" t="inlineStr">
        <is>
          <t>Not run</t>
        </is>
      </c>
      <c r="I4" s="12" t="n"/>
    </row>
    <row r="5">
      <c r="A5" s="11" t="inlineStr">
        <is>
          <t>T004</t>
        </is>
      </c>
      <c r="B5" s="11" t="inlineStr">
        <is>
          <t>1. Client brief / Planner</t>
        </is>
      </c>
      <c r="C5" s="11" t="inlineStr">
        <is>
          <t>Analysis</t>
        </is>
      </c>
      <c r="D5" s="11" t="inlineStr">
        <is>
          <t>Brief: share by mode of transport</t>
        </is>
      </c>
      <c r="E5" s="11" t="inlineStr">
        <is>
          <t>Analysis card, field Mode Of Transportation</t>
        </is>
      </c>
      <c r="F5" s="11" t="inlineStr">
        <is>
          <t>-</t>
        </is>
      </c>
      <c r="G5" s="12" t="n"/>
      <c r="H5" s="12" t="inlineStr">
        <is>
          <t>Not run</t>
        </is>
      </c>
      <c r="I5" s="12" t="n"/>
    </row>
    <row r="6">
      <c r="A6" s="11" t="inlineStr">
        <is>
          <t>T005</t>
        </is>
      </c>
      <c r="B6" s="11" t="inlineStr">
        <is>
          <t>1. Client brief / Planner</t>
        </is>
      </c>
      <c r="C6" s="11" t="inlineStr">
        <is>
          <t>Feature</t>
        </is>
      </c>
      <c r="D6" s="11" t="inlineStr">
        <is>
          <t>Brief: calculate transit time</t>
        </is>
      </c>
      <c r="E6" s="11" t="inlineStr">
        <is>
          <t>Feature card (no extra 'transit by carrier' analysis added)</t>
        </is>
      </c>
      <c r="F6" s="11" t="inlineStr">
        <is>
          <t>-</t>
        </is>
      </c>
      <c r="G6" s="12" t="n"/>
      <c r="H6" s="12" t="inlineStr">
        <is>
          <t>Not run</t>
        </is>
      </c>
      <c r="I6" s="12" t="n"/>
    </row>
    <row r="7">
      <c r="A7" s="11" t="inlineStr">
        <is>
          <t>T006</t>
        </is>
      </c>
      <c r="B7" s="11" t="inlineStr">
        <is>
          <t>1. Client brief / Planner</t>
        </is>
      </c>
      <c r="C7" s="11" t="inlineStr">
        <is>
          <t>Feature</t>
        </is>
      </c>
      <c r="D7" s="11" t="inlineStr">
        <is>
          <t>Brief: flag late vs planned arrival</t>
        </is>
      </c>
      <c r="E7" s="11" t="inlineStr">
        <is>
          <t>Feature card, fields Actual Arrival Time CET + Planned Arrival Time CET</t>
        </is>
      </c>
      <c r="F7" s="11" t="inlineStr">
        <is>
          <t>-</t>
        </is>
      </c>
      <c r="G7" s="12" t="n"/>
      <c r="H7" s="12" t="inlineStr">
        <is>
          <t>Not run</t>
        </is>
      </c>
      <c r="I7" s="12" t="n"/>
    </row>
    <row r="8">
      <c r="A8" s="11" t="inlineStr">
        <is>
          <t>T007</t>
        </is>
      </c>
      <c r="B8" s="11" t="inlineStr">
        <is>
          <t>1. Client brief / Planner</t>
        </is>
      </c>
      <c r="C8" s="11" t="inlineStr">
        <is>
          <t>Feature + Analysis</t>
        </is>
      </c>
      <c r="D8" s="11" t="inlineStr">
        <is>
          <t>Brief: % in spec for each product</t>
        </is>
      </c>
      <c r="E8" s="11" t="inlineStr">
        <is>
          <t>ONE 'Feature + Analysis' card (per-group wording), status New; shows in both tabs</t>
        </is>
      </c>
      <c r="F8" s="11" t="inlineStr">
        <is>
          <t>-</t>
        </is>
      </c>
      <c r="G8" s="12" t="n"/>
      <c r="H8" s="12" t="inlineStr">
        <is>
          <t>Not run</t>
        </is>
      </c>
      <c r="I8" s="12" t="n"/>
    </row>
    <row r="9">
      <c r="A9" s="11" t="inlineStr">
        <is>
          <t>T008</t>
        </is>
      </c>
      <c r="B9" s="11" t="inlineStr">
        <is>
          <t>1. Client brief / Planner</t>
        </is>
      </c>
      <c r="C9" s="11" t="inlineStr">
        <is>
          <t>Analysis</t>
        </is>
      </c>
      <c r="D9" s="11" t="inlineStr">
        <is>
          <t>Brief: alarm rate by carrier</t>
        </is>
      </c>
      <c r="E9" s="11" t="inlineStr">
        <is>
          <t>Analysis card using existing Is Alarmed column (no new feature)</t>
        </is>
      </c>
      <c r="F9" s="11" t="inlineStr">
        <is>
          <t>-</t>
        </is>
      </c>
      <c r="G9" s="12" t="n"/>
      <c r="H9" s="12" t="inlineStr">
        <is>
          <t>Not run</t>
        </is>
      </c>
      <c r="I9" s="12" t="n"/>
    </row>
    <row r="10">
      <c r="A10" s="11" t="inlineStr">
        <is>
          <t>T009</t>
        </is>
      </c>
      <c r="B10" s="11" t="inlineStr">
        <is>
          <t>1. Client brief / Planner</t>
        </is>
      </c>
      <c r="C10" s="11" t="inlineStr">
        <is>
          <t>Analysis</t>
        </is>
      </c>
      <c r="D10" s="11" t="inlineStr">
        <is>
          <t>Brief: alarm rate month to month</t>
        </is>
      </c>
      <c r="E10" s="11" t="inlineStr">
        <is>
          <t>Analysis card, date field Trip Create Date CET</t>
        </is>
      </c>
      <c r="F10" s="11" t="inlineStr">
        <is>
          <t>-</t>
        </is>
      </c>
      <c r="G10" s="12" t="n"/>
      <c r="H10" s="12" t="inlineStr">
        <is>
          <t>Not run</t>
        </is>
      </c>
      <c r="I10" s="12" t="n"/>
    </row>
    <row r="11">
      <c r="A11" s="11" t="inlineStr">
        <is>
          <t>T010</t>
        </is>
      </c>
      <c r="B11" s="11" t="inlineStr">
        <is>
          <t>1. Client brief / Planner</t>
        </is>
      </c>
      <c r="C11" s="11" t="inlineStr">
        <is>
          <t>Analysis</t>
        </is>
      </c>
      <c r="D11" s="11" t="inlineStr">
        <is>
          <t>Brief: average temperature trend</t>
        </is>
      </c>
      <c r="E11" s="11" t="inlineStr">
        <is>
          <t>Analysis card, field Mean Value over time</t>
        </is>
      </c>
      <c r="F11" s="11" t="inlineStr">
        <is>
          <t>-</t>
        </is>
      </c>
      <c r="G11" s="12" t="n"/>
      <c r="H11" s="12" t="inlineStr">
        <is>
          <t>Not run</t>
        </is>
      </c>
      <c r="I11" s="12" t="n"/>
    </row>
    <row r="12">
      <c r="A12" s="11" t="inlineStr">
        <is>
          <t>T011</t>
        </is>
      </c>
      <c r="B12" s="11" t="inlineStr">
        <is>
          <t>1. Client brief / Planner</t>
        </is>
      </c>
      <c r="C12" s="11" t="inlineStr">
        <is>
          <t>Configuration</t>
        </is>
      </c>
      <c r="D12" s="11" t="inlineStr">
        <is>
          <t>Brief: 'Use 8°C as the maximum temperature'</t>
        </is>
      </c>
      <c r="E12" s="11" t="inlineStr">
        <is>
          <t>Configuration card</t>
        </is>
      </c>
      <c r="F12" s="11" t="inlineStr">
        <is>
          <t>-</t>
        </is>
      </c>
      <c r="G12" s="12" t="n"/>
      <c r="H12" s="12" t="inlineStr">
        <is>
          <t>Not run</t>
        </is>
      </c>
      <c r="I12" s="12" t="n"/>
    </row>
    <row r="13">
      <c r="A13" s="11" t="inlineStr">
        <is>
          <t>T012</t>
        </is>
      </c>
      <c r="B13" s="11" t="inlineStr">
        <is>
          <t>1. Client brief / Planner</t>
        </is>
      </c>
      <c r="C13" s="11" t="inlineStr">
        <is>
          <t>Clarification</t>
        </is>
      </c>
      <c r="D13" s="11" t="inlineStr">
        <is>
          <t>Brief: 'flag high-risk shipments' (undefined)</t>
        </is>
      </c>
      <c r="E13" s="11" t="inlineStr">
        <is>
          <t>Feature card with status Needs Clarification and a specific question asking what counts as high-risk</t>
        </is>
      </c>
      <c r="F13" s="11" t="inlineStr">
        <is>
          <t>-</t>
        </is>
      </c>
      <c r="G13" s="12" t="n"/>
      <c r="H13" s="12" t="inlineStr">
        <is>
          <t>Not run</t>
        </is>
      </c>
      <c r="I13" s="12" t="n"/>
    </row>
    <row r="14">
      <c r="A14" s="11" t="inlineStr">
        <is>
          <t>T013</t>
        </is>
      </c>
      <c r="B14" s="11" t="inlineStr">
        <is>
          <t>1. Client brief / Planner</t>
        </is>
      </c>
      <c r="C14" s="11" t="inlineStr">
        <is>
          <t>Missing field</t>
        </is>
      </c>
      <c r="D14" s="11" t="inlineStr">
        <is>
          <t>Brief: 'show revenue by carrier'</t>
        </is>
      </c>
      <c r="E14" s="11" t="inlineStr">
        <is>
          <t>Card lists 'revenue' under missing fields; no invented column</t>
        </is>
      </c>
      <c r="F14" s="11" t="inlineStr">
        <is>
          <t>-</t>
        </is>
      </c>
      <c r="G14" s="12" t="n"/>
      <c r="H14" s="12" t="inlineStr">
        <is>
          <t>Not run</t>
        </is>
      </c>
      <c r="I14" s="12" t="n"/>
    </row>
    <row r="15">
      <c r="A15" s="11" t="inlineStr">
        <is>
          <t>T014</t>
        </is>
      </c>
      <c r="B15" s="11" t="inlineStr">
        <is>
          <t>1. Client brief / Planner</t>
        </is>
      </c>
      <c r="C15" s="11" t="inlineStr">
        <is>
          <t>Limits</t>
        </is>
      </c>
      <c r="D15" s="11" t="inlineStr">
        <is>
          <t>Count of cards returned for the full brief</t>
        </is>
      </c>
      <c r="E15" s="11" t="inlineStr">
        <is>
          <t>At most 6 analyses and 6 features; nothing the brief did not ask for</t>
        </is>
      </c>
      <c r="F15" s="11" t="inlineStr">
        <is>
          <t>-</t>
        </is>
      </c>
      <c r="G15" s="12" t="n"/>
      <c r="H15" s="12" t="inlineStr">
        <is>
          <t>Not run</t>
        </is>
      </c>
      <c r="I15" s="12" t="n"/>
    </row>
    <row r="16">
      <c r="A16" s="11" t="inlineStr">
        <is>
          <t>T015</t>
        </is>
      </c>
      <c r="B16" s="11" t="inlineStr">
        <is>
          <t>1. Client brief / Planner</t>
        </is>
      </c>
      <c r="C16" s="11" t="inlineStr">
        <is>
          <t>Empty brief</t>
        </is>
      </c>
      <c r="D16" s="11" t="inlineStr">
        <is>
          <t>Brief: 'Looks good, thanks!'</t>
        </is>
      </c>
      <c r="E16" s="11" t="inlineStr">
        <is>
          <t>Zero recommendations</t>
        </is>
      </c>
      <c r="F16" s="11" t="inlineStr">
        <is>
          <t>-</t>
        </is>
      </c>
      <c r="G16" s="12" t="n"/>
      <c r="H16" s="12" t="inlineStr">
        <is>
          <t>Not run</t>
        </is>
      </c>
      <c r="I16" s="12" t="n"/>
    </row>
    <row r="17">
      <c r="A17" s="11" t="inlineStr">
        <is>
          <t>T016</t>
        </is>
      </c>
      <c r="B17" s="11" t="inlineStr">
        <is>
          <t>2. Planner formula / spec display</t>
        </is>
      </c>
      <c r="C17" s="11" t="inlineStr">
        <is>
          <t>Feature formula</t>
        </is>
      </c>
      <c r="D17" s="11" t="inlineStr">
        <is>
          <t>Transit time card</t>
        </is>
      </c>
      <c r="E17" s="11" t="inlineStr">
        <is>
          <t>Formula line: Actual Arrival Time CET - Actual Departure Time CET, in hours; output type duration/numeric</t>
        </is>
      </c>
      <c r="F17" s="11" t="inlineStr">
        <is>
          <t>Numbered plan also shown below</t>
        </is>
      </c>
      <c r="G17" s="12" t="n"/>
      <c r="H17" s="12" t="inlineStr">
        <is>
          <t>Not run</t>
        </is>
      </c>
      <c r="I17" s="12" t="n"/>
    </row>
    <row r="18">
      <c r="A18" s="11" t="inlineStr">
        <is>
          <t>T017</t>
        </is>
      </c>
      <c r="B18" s="11" t="inlineStr">
        <is>
          <t>2. Planner formula / spec display</t>
        </is>
      </c>
      <c r="C18" s="11" t="inlineStr">
        <is>
          <t>Feature formula</t>
        </is>
      </c>
      <c r="D18" s="11" t="inlineStr">
        <is>
          <t>Late vs plan card</t>
        </is>
      </c>
      <c r="E18" s="11" t="inlineStr">
        <is>
          <t>Formula: Actual Arrival - Planned Arrival, late if &gt; 0; nulls handled when Planned Arrival blank</t>
        </is>
      </c>
      <c r="F18" s="11" t="inlineStr">
        <is>
          <t>-</t>
        </is>
      </c>
      <c r="G18" s="12" t="n"/>
      <c r="H18" s="12" t="inlineStr">
        <is>
          <t>Not run</t>
        </is>
      </c>
      <c r="I18" s="12" t="n"/>
    </row>
    <row r="19">
      <c r="A19" s="11" t="inlineStr">
        <is>
          <t>T018</t>
        </is>
      </c>
      <c r="B19" s="11" t="inlineStr">
        <is>
          <t>2. Planner formula / spec display</t>
        </is>
      </c>
      <c r="C19" s="11" t="inlineStr">
        <is>
          <t>Feature formula</t>
        </is>
      </c>
      <c r="D19" s="11" t="inlineStr">
        <is>
          <t>In-spec flag card</t>
        </is>
      </c>
      <c r="E19" s="11" t="inlineStr">
        <is>
          <t>Formula: Max Value &lt;= Limit High (True = compliant); output boolean</t>
        </is>
      </c>
      <c r="F19" s="11" t="inlineStr">
        <is>
          <t>-</t>
        </is>
      </c>
      <c r="G19" s="12" t="n"/>
      <c r="H19" s="12" t="inlineStr">
        <is>
          <t>Not run</t>
        </is>
      </c>
      <c r="I19" s="12" t="n"/>
    </row>
    <row r="20">
      <c r="A20" s="11" t="inlineStr">
        <is>
          <t>T019</t>
        </is>
      </c>
      <c r="B20" s="11" t="inlineStr">
        <is>
          <t>2. Planner formula / spec display</t>
        </is>
      </c>
      <c r="C20" s="11" t="inlineStr">
        <is>
          <t>Analysis spec</t>
        </is>
      </c>
      <c r="D20" s="11" t="inlineStr">
        <is>
          <t>Shipments by carrier card</t>
        </is>
      </c>
      <c r="E20" s="11" t="inlineStr">
        <is>
          <t>Spec: Group by Carrier -&gt; count; Group by: Carrier</t>
        </is>
      </c>
      <c r="F20" s="11" t="inlineStr">
        <is>
          <t>-</t>
        </is>
      </c>
      <c r="G20" s="12" t="n"/>
      <c r="H20" s="12" t="inlineStr">
        <is>
          <t>Not run</t>
        </is>
      </c>
      <c r="I20" s="12" t="n"/>
    </row>
    <row r="21">
      <c r="A21" s="11" t="inlineStr">
        <is>
          <t>T020</t>
        </is>
      </c>
      <c r="B21" s="11" t="inlineStr">
        <is>
          <t>2. Planner formula / spec display</t>
        </is>
      </c>
      <c r="C21" s="11" t="inlineStr">
        <is>
          <t>Analysis spec</t>
        </is>
      </c>
      <c r="D21" s="11" t="inlineStr">
        <is>
          <t>Top 5 origins card</t>
        </is>
      </c>
      <c r="E21" s="11" t="inlineStr">
        <is>
          <t>Spec: Group by Origin -&gt; count -&gt; sort desc -&gt; limit 5</t>
        </is>
      </c>
      <c r="F21" s="11" t="inlineStr">
        <is>
          <t>-</t>
        </is>
      </c>
      <c r="G21" s="12" t="n"/>
      <c r="H21" s="12" t="inlineStr">
        <is>
          <t>Not run</t>
        </is>
      </c>
      <c r="I21" s="12" t="n"/>
    </row>
    <row r="22">
      <c r="A22" s="11" t="inlineStr">
        <is>
          <t>T021</t>
        </is>
      </c>
      <c r="B22" s="11" t="inlineStr">
        <is>
          <t>2. Planner formula / spec display</t>
        </is>
      </c>
      <c r="C22" s="11" t="inlineStr">
        <is>
          <t>Analysis spec</t>
        </is>
      </c>
      <c r="D22" s="11" t="inlineStr">
        <is>
          <t>Alarm rate by month card</t>
        </is>
      </c>
      <c r="E22" s="11" t="inlineStr">
        <is>
          <t>Spec: group by month of Trip Create Date CET -&gt; % where Is Alarmed = Yes</t>
        </is>
      </c>
      <c r="F22" s="11" t="inlineStr">
        <is>
          <t>-</t>
        </is>
      </c>
      <c r="G22" s="12" t="n"/>
      <c r="H22" s="12" t="inlineStr">
        <is>
          <t>Not run</t>
        </is>
      </c>
      <c r="I22" s="12" t="n"/>
    </row>
    <row r="23">
      <c r="A23" s="11" t="inlineStr">
        <is>
          <t>T022</t>
        </is>
      </c>
      <c r="B23" s="11" t="inlineStr">
        <is>
          <t>2. Planner formula / spec display</t>
        </is>
      </c>
      <c r="C23" s="11" t="inlineStr">
        <is>
          <t>Analysis spec</t>
        </is>
      </c>
      <c r="D23" s="11" t="inlineStr">
        <is>
          <t>Overall / no-group analysis</t>
        </is>
      </c>
      <c r="E23" s="11" t="inlineStr">
        <is>
          <t>Group by shows 'none (overall)'</t>
        </is>
      </c>
      <c r="F23" s="11" t="inlineStr">
        <is>
          <t>-</t>
        </is>
      </c>
      <c r="G23" s="12" t="n"/>
      <c r="H23" s="12" t="inlineStr">
        <is>
          <t>Not run</t>
        </is>
      </c>
      <c r="I23" s="12" t="n"/>
    </row>
    <row r="24">
      <c r="A24" s="11" t="inlineStr">
        <is>
          <t>T023</t>
        </is>
      </c>
      <c r="B24" s="11" t="inlineStr">
        <is>
          <t>2. Planner formula / spec display</t>
        </is>
      </c>
      <c r="C24" s="11" t="inlineStr">
        <is>
          <t>Layout</t>
        </is>
      </c>
      <c r="D24" s="11" t="inlineStr">
        <is>
          <t>Feature + Analysis card</t>
        </is>
      </c>
      <c r="E24" s="11" t="inlineStr">
        <is>
          <t>Both the formula block and the analysis spec block appear</t>
        </is>
      </c>
      <c r="F24" s="11" t="inlineStr">
        <is>
          <t>-</t>
        </is>
      </c>
      <c r="G24" s="12" t="n"/>
      <c r="H24" s="12" t="inlineStr">
        <is>
          <t>Not run</t>
        </is>
      </c>
      <c r="I24" s="12" t="n"/>
    </row>
    <row r="25">
      <c r="A25" s="11" t="inlineStr">
        <is>
          <t>T024</t>
        </is>
      </c>
      <c r="B25" s="11" t="inlineStr">
        <is>
          <t>3. Audit</t>
        </is>
      </c>
      <c r="C25" s="11" t="inlineStr">
        <is>
          <t>Row count</t>
        </is>
      </c>
      <c r="D25" s="11" t="inlineStr">
        <is>
          <t>Rows after upload</t>
        </is>
      </c>
      <c r="E25" s="11" t="inlineStr">
        <is>
          <t>2,370</t>
        </is>
      </c>
      <c r="F25" s="11" t="inlineStr">
        <is>
          <t>-</t>
        </is>
      </c>
      <c r="G25" s="12" t="n"/>
      <c r="H25" s="12" t="inlineStr">
        <is>
          <t>Not run</t>
        </is>
      </c>
      <c r="I25" s="12" t="n"/>
    </row>
    <row r="26">
      <c r="A26" s="11" t="inlineStr">
        <is>
          <t>T025</t>
        </is>
      </c>
      <c r="B26" s="11" t="inlineStr">
        <is>
          <t>3. Audit</t>
        </is>
      </c>
      <c r="C26" s="11" t="inlineStr">
        <is>
          <t>Empty columns</t>
        </is>
      </c>
      <c r="D26" s="11" t="inlineStr">
        <is>
          <t>Fully empty columns detected</t>
        </is>
      </c>
      <c r="E26" s="11" t="inlineStr">
        <is>
          <t>10: Trip Detail, Quality Status, Quality Comment, Managing Carrier, Parent Supplier, Container Name, Zone Name, Segment Type, Segment Number, Trip Review</t>
        </is>
      </c>
      <c r="F26" s="11" t="inlineStr">
        <is>
          <t>-</t>
        </is>
      </c>
      <c r="G26" s="12" t="n"/>
      <c r="H26" s="12" t="inlineStr">
        <is>
          <t>Not run</t>
        </is>
      </c>
      <c r="I26" s="12" t="n"/>
    </row>
    <row r="27">
      <c r="A27" s="11" t="inlineStr">
        <is>
          <t>T026</t>
        </is>
      </c>
      <c r="B27" s="11" t="inlineStr">
        <is>
          <t>3. Audit</t>
        </is>
      </c>
      <c r="C27" s="11" t="inlineStr">
        <is>
          <t>Duplicates</t>
        </is>
      </c>
      <c r="D27" s="11" t="inlineStr">
        <is>
          <t>Repeated Serial Numbers</t>
        </is>
      </c>
      <c r="E27" s="11" t="inlineStr">
        <is>
          <t>96 repeated (2,275 unique); no fully identical rows</t>
        </is>
      </c>
      <c r="F27" s="11" t="inlineStr">
        <is>
          <t>-</t>
        </is>
      </c>
      <c r="G27" s="12" t="n"/>
      <c r="H27" s="12" t="inlineStr">
        <is>
          <t>Not run</t>
        </is>
      </c>
      <c r="I27" s="12" t="n"/>
    </row>
    <row r="28">
      <c r="A28" s="11" t="inlineStr">
        <is>
          <t>T027</t>
        </is>
      </c>
      <c r="B28" s="11" t="inlineStr">
        <is>
          <t>3. Audit</t>
        </is>
      </c>
      <c r="C28" s="11" t="inlineStr">
        <is>
          <t>Missing values</t>
        </is>
      </c>
      <c r="D28" s="11" t="inlineStr">
        <is>
          <t>Mode Of Transportation blanks</t>
        </is>
      </c>
      <c r="E28" s="11" t="inlineStr">
        <is>
          <t>755 (~32%), below 50% so NOT offered for dropping</t>
        </is>
      </c>
      <c r="F28" s="11" t="inlineStr">
        <is>
          <t>-</t>
        </is>
      </c>
      <c r="G28" s="12" t="n"/>
      <c r="H28" s="12" t="inlineStr">
        <is>
          <t>Not run</t>
        </is>
      </c>
      <c r="I28" s="12" t="n"/>
    </row>
    <row r="29">
      <c r="A29" s="11" t="inlineStr">
        <is>
          <t>T028</t>
        </is>
      </c>
      <c r="B29" s="11" t="inlineStr">
        <is>
          <t>3. Audit</t>
        </is>
      </c>
      <c r="C29" s="11" t="inlineStr">
        <is>
          <t>Missing values</t>
        </is>
      </c>
      <c r="D29" s="11" t="inlineStr">
        <is>
          <t>Product / Carrier blanks</t>
        </is>
      </c>
      <c r="E29" s="11" t="inlineStr">
        <is>
          <t>145 / 80</t>
        </is>
      </c>
      <c r="F29" s="11" t="inlineStr">
        <is>
          <t>-</t>
        </is>
      </c>
      <c r="G29" s="12" t="n"/>
      <c r="H29" s="12" t="inlineStr">
        <is>
          <t>Not run</t>
        </is>
      </c>
      <c r="I29" s="12" t="n"/>
    </row>
    <row r="30">
      <c r="A30" s="11" t="inlineStr">
        <is>
          <t>T029</t>
        </is>
      </c>
      <c r="B30" s="11" t="inlineStr">
        <is>
          <t>3. Audit</t>
        </is>
      </c>
      <c r="C30" s="11" t="inlineStr">
        <is>
          <t>Missing values</t>
        </is>
      </c>
      <c r="D30" s="11" t="inlineStr">
        <is>
          <t>Planned Arrival Time CET present</t>
        </is>
      </c>
      <c r="E30" s="11" t="inlineStr">
        <is>
          <t>662 rows only</t>
        </is>
      </c>
      <c r="F30" s="11" t="inlineStr">
        <is>
          <t>-</t>
        </is>
      </c>
      <c r="G30" s="12" t="n"/>
      <c r="H30" s="12" t="inlineStr">
        <is>
          <t>Not run</t>
        </is>
      </c>
      <c r="I30" s="12" t="n"/>
    </row>
    <row r="31">
      <c r="A31" s="11" t="inlineStr">
        <is>
          <t>T030</t>
        </is>
      </c>
      <c r="B31" s="11" t="inlineStr">
        <is>
          <t>3. Audit</t>
        </is>
      </c>
      <c r="C31" s="11" t="inlineStr">
        <is>
          <t>Outliers</t>
        </is>
      </c>
      <c r="D31" s="11" t="inlineStr">
        <is>
          <t>Transit hours outliers</t>
        </is>
      </c>
      <c r="E31" s="11" t="inlineStr">
        <is>
          <t>Max 1,460 h vs median 47 h; 128 rows &gt; 200 h (ocean-length trips)</t>
        </is>
      </c>
      <c r="F31" s="11" t="inlineStr">
        <is>
          <t>-</t>
        </is>
      </c>
      <c r="G31" s="12" t="n"/>
      <c r="H31" s="12" t="inlineStr">
        <is>
          <t>Not run</t>
        </is>
      </c>
      <c r="I31" s="12" t="n"/>
    </row>
    <row r="32">
      <c r="A32" s="11" t="inlineStr">
        <is>
          <t>T031</t>
        </is>
      </c>
      <c r="B32" s="11" t="inlineStr">
        <is>
          <t>3. Audit</t>
        </is>
      </c>
      <c r="C32" s="11" t="inlineStr">
        <is>
          <t>Edge case</t>
        </is>
      </c>
      <c r="D32" s="11" t="inlineStr">
        <is>
          <t>Accept dropping the empty columns, then run an analysis on Parent Supplier</t>
        </is>
      </c>
      <c r="E32" s="11" t="inlineStr">
        <is>
          <t>Card shows: Column 'Parent Supplier' isn't in the current data...</t>
        </is>
      </c>
      <c r="F32" s="11" t="inlineStr">
        <is>
          <t>Clear error, not a KeyError</t>
        </is>
      </c>
      <c r="G32" s="12" t="n"/>
      <c r="H32" s="12" t="inlineStr">
        <is>
          <t>Not run</t>
        </is>
      </c>
      <c r="I32" s="12" t="n"/>
    </row>
    <row r="33">
      <c r="A33" s="11" t="inlineStr">
        <is>
          <t>T032</t>
        </is>
      </c>
      <c r="B33" s="11" t="inlineStr">
        <is>
          <t>3. Audit</t>
        </is>
      </c>
      <c r="C33" s="11" t="inlineStr">
        <is>
          <t>Edge case</t>
        </is>
      </c>
      <c r="D33" s="11" t="inlineStr">
        <is>
          <t>Manually drop Mode Of Transportation, then run mode-share analysis</t>
        </is>
      </c>
      <c r="E33" s="11" t="inlineStr">
        <is>
          <t>Card shows the column-missing message; Retry cannot fix it until the column is kept</t>
        </is>
      </c>
      <c r="F33" s="11" t="inlineStr">
        <is>
          <t>-</t>
        </is>
      </c>
      <c r="G33" s="12" t="n"/>
      <c r="H33" s="12" t="inlineStr">
        <is>
          <t>Not run</t>
        </is>
      </c>
      <c r="I33" s="12" t="n"/>
    </row>
    <row r="34">
      <c r="A34" s="11" t="inlineStr">
        <is>
          <t>T033</t>
        </is>
      </c>
      <c r="B34" s="11" t="inlineStr">
        <is>
          <t>4. Features</t>
        </is>
      </c>
      <c r="C34" s="11" t="inlineStr">
        <is>
          <t>Transit hours</t>
        </is>
      </c>
      <c r="D34" s="11" t="inlineStr">
        <is>
          <t>Computed values</t>
        </is>
      </c>
      <c r="E34" s="11" t="inlineStr">
        <is>
          <t>Median 47 h, mean ~92 h, max 1,460 h, no negatives</t>
        </is>
      </c>
      <c r="F34" s="11" t="inlineStr">
        <is>
          <t>-</t>
        </is>
      </c>
      <c r="G34" s="12" t="n"/>
      <c r="H34" s="12" t="inlineStr">
        <is>
          <t>Not run</t>
        </is>
      </c>
      <c r="I34" s="12" t="n"/>
    </row>
    <row r="35">
      <c r="A35" s="11" t="inlineStr">
        <is>
          <t>T034</t>
        </is>
      </c>
      <c r="B35" s="11" t="inlineStr">
        <is>
          <t>4. Features</t>
        </is>
      </c>
      <c r="C35" s="11" t="inlineStr">
        <is>
          <t>Transit hours</t>
        </is>
      </c>
      <c r="D35" s="11" t="inlineStr">
        <is>
          <t>By mode</t>
        </is>
      </c>
      <c r="E35" s="11" t="inlineStr">
        <is>
          <t>Road ~46.6 h, Rail ~60.9 h, Ocean ~695 h</t>
        </is>
      </c>
      <c r="F35" s="11" t="inlineStr">
        <is>
          <t>-</t>
        </is>
      </c>
      <c r="G35" s="12" t="n"/>
      <c r="H35" s="12" t="inlineStr">
        <is>
          <t>Not run</t>
        </is>
      </c>
      <c r="I35" s="12" t="n"/>
    </row>
    <row r="36">
      <c r="A36" s="11" t="inlineStr">
        <is>
          <t>T035</t>
        </is>
      </c>
      <c r="B36" s="11" t="inlineStr">
        <is>
          <t>4. Features</t>
        </is>
      </c>
      <c r="C36" s="11" t="inlineStr">
        <is>
          <t>Late flag</t>
        </is>
      </c>
      <c r="D36" s="11" t="inlineStr">
        <is>
          <t>Populated rows</t>
        </is>
      </c>
      <c r="E36" s="11" t="inlineStr">
        <is>
          <t>662 rows have a value; 32.9% late; 12.7% more than 24 h late; 67.1% early/on time</t>
        </is>
      </c>
      <c r="F36" s="11" t="inlineStr">
        <is>
          <t>-</t>
        </is>
      </c>
      <c r="G36" s="12" t="n"/>
      <c r="H36" s="12" t="inlineStr">
        <is>
          <t>Not run</t>
        </is>
      </c>
      <c r="I36" s="12" t="n"/>
    </row>
    <row r="37">
      <c r="A37" s="11" t="inlineStr">
        <is>
          <t>T036</t>
        </is>
      </c>
      <c r="B37" s="11" t="inlineStr">
        <is>
          <t>4. Features</t>
        </is>
      </c>
      <c r="C37" s="11" t="inlineStr">
        <is>
          <t>In-spec flag</t>
        </is>
      </c>
      <c r="D37" s="11" t="inlineStr">
        <is>
          <t>Rows with a limit</t>
        </is>
      </c>
      <c r="E37" s="11" t="inlineStr">
        <is>
          <t>2,225 rows have Limit High; overall in-spec = 10.4% (1,994 exceed)</t>
        </is>
      </c>
      <c r="F37" s="11" t="inlineStr">
        <is>
          <t>-</t>
        </is>
      </c>
      <c r="G37" s="12" t="n"/>
      <c r="H37" s="12" t="inlineStr">
        <is>
          <t>Not run</t>
        </is>
      </c>
      <c r="I37" s="12" t="n"/>
    </row>
    <row r="38">
      <c r="A38" s="11" t="inlineStr">
        <is>
          <t>T037</t>
        </is>
      </c>
      <c r="B38" s="11" t="inlineStr">
        <is>
          <t>4. Features</t>
        </is>
      </c>
      <c r="C38" s="11" t="inlineStr">
        <is>
          <t>In-spec flag</t>
        </is>
      </c>
      <c r="D38" s="11" t="inlineStr">
        <is>
          <t>Direction check</t>
        </is>
      </c>
      <c r="E38" s="11" t="inlineStr">
        <is>
          <t>True must mean compliant (Max Value &lt;= Limit High), never reversed</t>
        </is>
      </c>
      <c r="F38" s="11" t="inlineStr">
        <is>
          <t>-</t>
        </is>
      </c>
      <c r="G38" s="12" t="n"/>
      <c r="H38" s="12" t="inlineStr">
        <is>
          <t>Not run</t>
        </is>
      </c>
      <c r="I38" s="12" t="n"/>
    </row>
    <row r="39">
      <c r="A39" s="11" t="inlineStr">
        <is>
          <t>T038</t>
        </is>
      </c>
      <c r="B39" s="11" t="inlineStr">
        <is>
          <t>4. Features</t>
        </is>
      </c>
      <c r="C39" s="11" t="inlineStr">
        <is>
          <t>Nulls</t>
        </is>
      </c>
      <c r="D39" s="11" t="inlineStr">
        <is>
          <t>Rows with no Limit High</t>
        </is>
      </c>
      <c r="E39" s="11" t="inlineStr">
        <is>
          <t>~145 rows stay blank; NOT counted as out of spec</t>
        </is>
      </c>
      <c r="F39" s="11" t="inlineStr">
        <is>
          <t>-</t>
        </is>
      </c>
      <c r="G39" s="12" t="n"/>
      <c r="H39" s="12" t="inlineStr">
        <is>
          <t>Not run</t>
        </is>
      </c>
      <c r="I39" s="12" t="n"/>
    </row>
    <row r="40">
      <c r="A40" s="11" t="inlineStr">
        <is>
          <t>T039</t>
        </is>
      </c>
      <c r="B40" s="11" t="inlineStr">
        <is>
          <t>4. Features</t>
        </is>
      </c>
      <c r="C40" s="11" t="inlineStr">
        <is>
          <t>Broadcast</t>
        </is>
      </c>
      <c r="D40" s="11" t="inlineStr">
        <is>
          <t>Per-row features</t>
        </is>
      </c>
      <c r="E40" s="11" t="inlineStr">
        <is>
          <t>Each row has its own value (not one value copied to all rows)</t>
        </is>
      </c>
      <c r="F40" s="11" t="inlineStr">
        <is>
          <t>-</t>
        </is>
      </c>
      <c r="G40" s="12" t="n"/>
      <c r="H40" s="12" t="inlineStr">
        <is>
          <t>Not run</t>
        </is>
      </c>
      <c r="I40" s="12" t="n"/>
    </row>
    <row r="41">
      <c r="A41" s="11" t="inlineStr">
        <is>
          <t>T040</t>
        </is>
      </c>
      <c r="B41" s="11" t="inlineStr">
        <is>
          <t>4. Features</t>
        </is>
      </c>
      <c r="C41" s="11" t="inlineStr">
        <is>
          <t>Ambiguity</t>
        </is>
      </c>
      <c r="D41" s="11" t="inlineStr">
        <is>
          <t>'In spec' definition</t>
        </is>
      </c>
      <c r="E41" s="11" t="inlineStr">
        <is>
          <t>Max&lt;=Limit High gives 10.4% but Is Alarmed=No gives ~31%; the planner should ask, not silently pick</t>
        </is>
      </c>
      <c r="F41" s="11" t="inlineStr">
        <is>
          <t>-</t>
        </is>
      </c>
      <c r="G41" s="12" t="n"/>
      <c r="H41" s="12" t="inlineStr">
        <is>
          <t>Not run</t>
        </is>
      </c>
      <c r="I41" s="12" t="n"/>
    </row>
    <row r="42">
      <c r="A42" s="11" t="inlineStr">
        <is>
          <t>T041</t>
        </is>
      </c>
      <c r="B42" s="11" t="inlineStr">
        <is>
          <t>5. Analyses</t>
        </is>
      </c>
      <c r="C42" s="11" t="inlineStr">
        <is>
          <t>Volume</t>
        </is>
      </c>
      <c r="D42" s="11" t="inlineStr">
        <is>
          <t>Shipments by carrier</t>
        </is>
      </c>
      <c r="E42" s="11" t="inlineStr">
        <is>
          <t>GEA 731, Campagnolo 694, Primafrio 312, (blank) 80, ANNE TRANS 64</t>
        </is>
      </c>
      <c r="F42" s="11" t="inlineStr">
        <is>
          <t>Bar</t>
        </is>
      </c>
      <c r="G42" s="12" t="n"/>
      <c r="H42" s="12" t="inlineStr">
        <is>
          <t>Not run</t>
        </is>
      </c>
      <c r="I42" s="12" t="n"/>
    </row>
    <row r="43">
      <c r="A43" s="11" t="inlineStr">
        <is>
          <t>T042</t>
        </is>
      </c>
      <c r="B43" s="11" t="inlineStr">
        <is>
          <t>5. Analyses</t>
        </is>
      </c>
      <c r="C43" s="11" t="inlineStr">
        <is>
          <t>Volume</t>
        </is>
      </c>
      <c r="D43" s="11" t="inlineStr">
        <is>
          <t>Shipments by destination</t>
        </is>
      </c>
      <c r="E43" s="11" t="inlineStr">
        <is>
          <t>EDEKA FK SUD Garching 784, MTG FRUCT 338, GHB Hessenring Melsungen 128</t>
        </is>
      </c>
      <c r="F43" s="11" t="inlineStr">
        <is>
          <t>Bar</t>
        </is>
      </c>
      <c r="G43" s="12" t="n"/>
      <c r="H43" s="12" t="inlineStr">
        <is>
          <t>Not run</t>
        </is>
      </c>
      <c r="I43" s="12" t="n"/>
    </row>
    <row r="44">
      <c r="A44" s="11" t="inlineStr">
        <is>
          <t>T043</t>
        </is>
      </c>
      <c r="B44" s="11" t="inlineStr">
        <is>
          <t>5. Analyses</t>
        </is>
      </c>
      <c r="C44" s="11" t="inlineStr">
        <is>
          <t>Ranking</t>
        </is>
      </c>
      <c r="D44" s="11" t="inlineStr">
        <is>
          <t>Top 5 origins by volume</t>
        </is>
      </c>
      <c r="E44" s="11" t="inlineStr">
        <is>
          <t>Giacovelli Srl 469, Agrimessina 366, Agricola Ci.da 312, Elita 168, Balakanakis 101</t>
        </is>
      </c>
      <c r="F44" s="11" t="inlineStr">
        <is>
          <t>Bar</t>
        </is>
      </c>
      <c r="G44" s="12" t="n"/>
      <c r="H44" s="12" t="inlineStr">
        <is>
          <t>Not run</t>
        </is>
      </c>
      <c r="I44" s="12" t="n"/>
    </row>
    <row r="45">
      <c r="A45" s="11" t="inlineStr">
        <is>
          <t>T044</t>
        </is>
      </c>
      <c r="B45" s="11" t="inlineStr">
        <is>
          <t>5. Analyses</t>
        </is>
      </c>
      <c r="C45" s="11" t="inlineStr">
        <is>
          <t>Share</t>
        </is>
      </c>
      <c r="D45" s="11" t="inlineStr">
        <is>
          <t>Share by mode of transport</t>
        </is>
      </c>
      <c r="E45" s="11" t="inlineStr">
        <is>
          <t>Road 1,556 (~66%), (blank) 755, Ocean 54, Rail 5; blank kept as its own slice</t>
        </is>
      </c>
      <c r="F45" s="11" t="inlineStr">
        <is>
          <t>Pie</t>
        </is>
      </c>
      <c r="G45" s="12" t="n"/>
      <c r="H45" s="12" t="inlineStr">
        <is>
          <t>Not run</t>
        </is>
      </c>
      <c r="I45" s="12" t="n"/>
    </row>
    <row r="46">
      <c r="A46" s="11" t="inlineStr">
        <is>
          <t>T045</t>
        </is>
      </c>
      <c r="B46" s="11" t="inlineStr">
        <is>
          <t>5. Analyses</t>
        </is>
      </c>
      <c r="C46" s="11" t="inlineStr">
        <is>
          <t>Rate</t>
        </is>
      </c>
      <c r="D46" s="11" t="inlineStr">
        <is>
          <t>% in spec by product</t>
        </is>
      </c>
      <c r="E46" s="11" t="inlineStr">
        <is>
          <t>Orange 100, Kiwi 54.5, Table Grapes 5.5, Apricots 17.0, several products 0</t>
        </is>
      </c>
      <c r="F46" s="11" t="inlineStr">
        <is>
          <t>Bar (combo with volume ok)</t>
        </is>
      </c>
      <c r="G46" s="12" t="n"/>
      <c r="H46" s="12" t="inlineStr">
        <is>
          <t>Not run</t>
        </is>
      </c>
      <c r="I46" s="12" t="n"/>
    </row>
    <row r="47">
      <c r="A47" s="11" t="inlineStr">
        <is>
          <t>T046</t>
        </is>
      </c>
      <c r="B47" s="11" t="inlineStr">
        <is>
          <t>5. Analyses</t>
        </is>
      </c>
      <c r="C47" s="11" t="inlineStr">
        <is>
          <t>Rate</t>
        </is>
      </c>
      <c r="D47" s="11" t="inlineStr">
        <is>
          <t>Alarm rate by carrier</t>
        </is>
      </c>
      <c r="E47" s="11" t="inlineStr">
        <is>
          <t>MSC 98%, FGF 96%, GEA 82%, Campagnolo 78%, Primafrio 63%, ANNE TRANS 3%</t>
        </is>
      </c>
      <c r="F47" s="11" t="inlineStr">
        <is>
          <t>Bar or combo</t>
        </is>
      </c>
      <c r="G47" s="12" t="n"/>
      <c r="H47" s="12" t="inlineStr">
        <is>
          <t>Not run</t>
        </is>
      </c>
      <c r="I47" s="12" t="n"/>
    </row>
    <row r="48">
      <c r="A48" s="11" t="inlineStr">
        <is>
          <t>T047</t>
        </is>
      </c>
      <c r="B48" s="11" t="inlineStr">
        <is>
          <t>5. Analyses</t>
        </is>
      </c>
      <c r="C48" s="11" t="inlineStr">
        <is>
          <t>Rate</t>
        </is>
      </c>
      <c r="D48" s="11" t="inlineStr">
        <is>
          <t>Alarm rate by mode</t>
        </is>
      </c>
      <c r="E48" s="11" t="inlineStr">
        <is>
          <t>Ocean 96%, Road 66%, Rail 40% (only 5 trips)</t>
        </is>
      </c>
      <c r="F48" s="11" t="inlineStr">
        <is>
          <t>Bar</t>
        </is>
      </c>
      <c r="G48" s="12" t="n"/>
      <c r="H48" s="12" t="inlineStr">
        <is>
          <t>Not run</t>
        </is>
      </c>
      <c r="I48" s="12" t="n"/>
    </row>
    <row r="49">
      <c r="A49" s="11" t="inlineStr">
        <is>
          <t>T048</t>
        </is>
      </c>
      <c r="B49" s="11" t="inlineStr">
        <is>
          <t>5. Analyses</t>
        </is>
      </c>
      <c r="C49" s="11" t="inlineStr">
        <is>
          <t>Rate</t>
        </is>
      </c>
      <c r="D49" s="11" t="inlineStr">
        <is>
          <t>Alarm rate by origin</t>
        </is>
      </c>
      <c r="E49" s="11" t="inlineStr">
        <is>
          <t>Agricola Ci.da 95%, Giacovelli 81%, Agrimessina 69%, Balakanakis 20%, Elita 7%</t>
        </is>
      </c>
      <c r="F49" s="11" t="inlineStr">
        <is>
          <t>Bar</t>
        </is>
      </c>
      <c r="G49" s="12" t="n"/>
      <c r="H49" s="12" t="inlineStr">
        <is>
          <t>Not run</t>
        </is>
      </c>
      <c r="I49" s="12" t="n"/>
    </row>
    <row r="50">
      <c r="A50" s="11" t="inlineStr">
        <is>
          <t>T049</t>
        </is>
      </c>
      <c r="B50" s="11" t="inlineStr">
        <is>
          <t>5. Analyses</t>
        </is>
      </c>
      <c r="C50" s="11" t="inlineStr">
        <is>
          <t>Trend</t>
        </is>
      </c>
      <c r="D50" s="11" t="inlineStr">
        <is>
          <t>Trips per month</t>
        </is>
      </c>
      <c r="E50" s="11" t="inlineStr">
        <is>
          <t>Peaks Aug 2025 (447) and Sep 2025 (421); trough Apr 2026 (7); Jul 2026 320</t>
        </is>
      </c>
      <c r="F50" s="11" t="inlineStr">
        <is>
          <t>Line</t>
        </is>
      </c>
      <c r="G50" s="12" t="n"/>
      <c r="H50" s="12" t="inlineStr">
        <is>
          <t>Not run</t>
        </is>
      </c>
      <c r="I50" s="12" t="n"/>
    </row>
    <row r="51">
      <c r="A51" s="11" t="inlineStr">
        <is>
          <t>T050</t>
        </is>
      </c>
      <c r="B51" s="11" t="inlineStr">
        <is>
          <t>5. Analyses</t>
        </is>
      </c>
      <c r="C51" s="11" t="inlineStr">
        <is>
          <t>Trend</t>
        </is>
      </c>
      <c r="D51" s="11" t="inlineStr">
        <is>
          <t>Alarm rate per month</t>
        </is>
      </c>
      <c r="E51" s="11" t="inlineStr">
        <is>
          <t>Noisy in low-volume months (Dec 2025 - Apr 2026, 231 trips total)</t>
        </is>
      </c>
      <c r="F51" s="11" t="inlineStr">
        <is>
          <t>Line or combo with volume</t>
        </is>
      </c>
      <c r="G51" s="12" t="n"/>
      <c r="H51" s="12" t="inlineStr">
        <is>
          <t>Not run</t>
        </is>
      </c>
      <c r="I51" s="12" t="n"/>
    </row>
    <row r="52">
      <c r="A52" s="11" t="inlineStr">
        <is>
          <t>T051</t>
        </is>
      </c>
      <c r="B52" s="11" t="inlineStr">
        <is>
          <t>5. Analyses</t>
        </is>
      </c>
      <c r="C52" s="11" t="inlineStr">
        <is>
          <t>Trend</t>
        </is>
      </c>
      <c r="D52" s="11" t="inlineStr">
        <is>
          <t>Average temperature trend</t>
        </is>
      </c>
      <c r="E52" s="11" t="inlineStr">
        <is>
          <t>Overall mean Value about 5.65 C</t>
        </is>
      </c>
      <c r="F52" s="11" t="inlineStr">
        <is>
          <t>Line</t>
        </is>
      </c>
      <c r="G52" s="12" t="n"/>
      <c r="H52" s="12" t="inlineStr">
        <is>
          <t>Not run</t>
        </is>
      </c>
      <c r="I52" s="12" t="n"/>
    </row>
    <row r="53">
      <c r="A53" s="11" t="inlineStr">
        <is>
          <t>T052</t>
        </is>
      </c>
      <c r="B53" s="11" t="inlineStr">
        <is>
          <t>5. Analyses</t>
        </is>
      </c>
      <c r="C53" s="11" t="inlineStr">
        <is>
          <t>Blank handling</t>
        </is>
      </c>
      <c r="D53" s="11" t="inlineStr">
        <is>
          <t>Carrier blank group</t>
        </is>
      </c>
      <c r="E53" s="11" t="inlineStr">
        <is>
          <t>80 blank carriers shown as (blank), not dropped</t>
        </is>
      </c>
      <c r="F53" s="11" t="inlineStr">
        <is>
          <t>-</t>
        </is>
      </c>
      <c r="G53" s="12" t="n"/>
      <c r="H53" s="12" t="inlineStr">
        <is>
          <t>Not run</t>
        </is>
      </c>
      <c r="I53" s="12" t="n"/>
    </row>
    <row r="54">
      <c r="A54" s="11" t="inlineStr">
        <is>
          <t>T053</t>
        </is>
      </c>
      <c r="B54" s="11" t="inlineStr">
        <is>
          <t>5. Analyses</t>
        </is>
      </c>
      <c r="C54" s="11" t="inlineStr">
        <is>
          <t>Filter</t>
        </is>
      </c>
      <c r="D54" s="11" t="inlineStr">
        <is>
          <t>Filter alarm rate by carrier = GEA</t>
        </is>
      </c>
      <c r="E54" s="11" t="inlineStr">
        <is>
          <t>Only GEA rows remain (731 trips); numbers consistent</t>
        </is>
      </c>
      <c r="F54" s="11" t="inlineStr">
        <is>
          <t>-</t>
        </is>
      </c>
      <c r="G54" s="12" t="n"/>
      <c r="H54" s="12" t="inlineStr">
        <is>
          <t>Not run</t>
        </is>
      </c>
      <c r="I54" s="12" t="n"/>
    </row>
    <row r="55">
      <c r="A55" s="11" t="inlineStr">
        <is>
          <t>T054</t>
        </is>
      </c>
      <c r="B55" s="11" t="inlineStr">
        <is>
          <t>5. Analyses</t>
        </is>
      </c>
      <c r="C55" s="11" t="inlineStr">
        <is>
          <t>Refusal</t>
        </is>
      </c>
      <c r="D55" s="11" t="inlineStr">
        <is>
          <t>Revenue by carrier</t>
        </is>
      </c>
      <c r="E55" s="11" t="inlineStr">
        <is>
          <t>Clear message that the analysis can't be done; no invented column</t>
        </is>
      </c>
      <c r="F55" s="11" t="inlineStr">
        <is>
          <t>-</t>
        </is>
      </c>
      <c r="G55" s="12" t="n"/>
      <c r="H55" s="12" t="inlineStr">
        <is>
          <t>Not run</t>
        </is>
      </c>
      <c r="I55" s="12" t="n"/>
    </row>
    <row r="56">
      <c r="A56" s="11" t="inlineStr">
        <is>
          <t>T055</t>
        </is>
      </c>
      <c r="B56" s="11" t="inlineStr">
        <is>
          <t>5. Analyses</t>
        </is>
      </c>
      <c r="C56" s="11" t="inlineStr">
        <is>
          <t>Refusal</t>
        </is>
      </c>
      <c r="D56" s="11" t="inlineStr">
        <is>
          <t>Trips by driver name</t>
        </is>
      </c>
      <c r="E56" s="11" t="inlineStr">
        <is>
          <t>Warns about low coverage (only 66 rows have a driver)</t>
        </is>
      </c>
      <c r="F56" s="11" t="inlineStr">
        <is>
          <t>-</t>
        </is>
      </c>
      <c r="G56" s="12" t="n"/>
      <c r="H56" s="12" t="inlineStr">
        <is>
          <t>Not run</t>
        </is>
      </c>
      <c r="I56" s="12" t="n"/>
    </row>
    <row r="57">
      <c r="A57" s="11" t="inlineStr">
        <is>
          <t>T056</t>
        </is>
      </c>
      <c r="B57" s="11" t="inlineStr">
        <is>
          <t>5. Analyses</t>
        </is>
      </c>
      <c r="C57" s="11" t="inlineStr">
        <is>
          <t>Chart</t>
        </is>
      </c>
      <c r="D57" s="11" t="inlineStr">
        <is>
          <t>Pie on 43 origins</t>
        </is>
      </c>
      <c r="E57" s="11" t="inlineStr">
        <is>
          <t>Collapses to top slices plus 'Other' (max 8) or suggests a bar</t>
        </is>
      </c>
      <c r="F57" s="11" t="inlineStr">
        <is>
          <t>-</t>
        </is>
      </c>
      <c r="G57" s="12" t="n"/>
      <c r="H57" s="12" t="inlineStr">
        <is>
          <t>Not run</t>
        </is>
      </c>
      <c r="I57" s="12" t="n"/>
    </row>
    <row r="58">
      <c r="A58" s="11" t="inlineStr">
        <is>
          <t>T057</t>
        </is>
      </c>
      <c r="B58" s="11" t="inlineStr">
        <is>
          <t>6. Drill-downs</t>
        </is>
      </c>
      <c r="C58" s="11" t="inlineStr">
        <is>
          <t>Drill-down</t>
        </is>
      </c>
      <c r="D58" s="11" t="inlineStr">
        <is>
          <t>Parent: alarm rate by carrier -&gt; GEA by Origin</t>
        </is>
      </c>
      <c r="E58" s="11" t="inlineStr">
        <is>
          <t>Agrimessina 236, Agricola Ci.da 197, Giacovelli 66</t>
        </is>
      </c>
      <c r="F58" s="11" t="inlineStr">
        <is>
          <t>Filter to GEA, group by Origin</t>
        </is>
      </c>
      <c r="G58" s="12" t="n"/>
      <c r="H58" s="12" t="inlineStr">
        <is>
          <t>Not run</t>
        </is>
      </c>
      <c r="I58" s="12" t="n"/>
    </row>
    <row r="59">
      <c r="A59" s="11" t="inlineStr">
        <is>
          <t>T058</t>
        </is>
      </c>
      <c r="B59" s="11" t="inlineStr">
        <is>
          <t>6. Drill-downs</t>
        </is>
      </c>
      <c r="C59" s="11" t="inlineStr">
        <is>
          <t>Drill-down</t>
        </is>
      </c>
      <c r="D59" s="11" t="inlineStr">
        <is>
          <t>Parent: alarm rate by carrier -&gt; GEA by Product</t>
        </is>
      </c>
      <c r="E59" s="11" t="inlineStr">
        <is>
          <t>Table Grapes 595 of 731; Apricots 45</t>
        </is>
      </c>
      <c r="F59" s="11" t="inlineStr">
        <is>
          <t>Filter to GEA, group by Product</t>
        </is>
      </c>
      <c r="G59" s="12" t="n"/>
      <c r="H59" s="12" t="inlineStr">
        <is>
          <t>Not run</t>
        </is>
      </c>
      <c r="I59" s="12" t="n"/>
    </row>
    <row r="60">
      <c r="A60" s="11" t="inlineStr">
        <is>
          <t>T059</t>
        </is>
      </c>
      <c r="B60" s="11" t="inlineStr">
        <is>
          <t>6. Drill-downs</t>
        </is>
      </c>
      <c r="C60" s="11" t="inlineStr">
        <is>
          <t>Drill-down</t>
        </is>
      </c>
      <c r="D60" s="11" t="inlineStr">
        <is>
          <t>Parent: % in spec by product -&gt; Table Grapes by Carrier</t>
        </is>
      </c>
      <c r="E60" s="11" t="inlineStr">
        <is>
          <t>Campagnolo 601, GEA 595, FGF 46</t>
        </is>
      </c>
      <c r="F60" s="11" t="inlineStr">
        <is>
          <t>Filter to Table Grapes, group by Carrier</t>
        </is>
      </c>
      <c r="G60" s="12" t="n"/>
      <c r="H60" s="12" t="inlineStr">
        <is>
          <t>Not run</t>
        </is>
      </c>
      <c r="I60" s="12" t="n"/>
    </row>
    <row r="61">
      <c r="A61" s="11" t="inlineStr">
        <is>
          <t>T060</t>
        </is>
      </c>
      <c r="B61" s="11" t="inlineStr">
        <is>
          <t>6. Drill-downs</t>
        </is>
      </c>
      <c r="C61" s="11" t="inlineStr">
        <is>
          <t>Drill-down</t>
        </is>
      </c>
      <c r="D61" s="11" t="inlineStr">
        <is>
          <t>Parent: top origins -&gt; top lane</t>
        </is>
      </c>
      <c r="E61" s="11" t="inlineStr">
        <is>
          <t>Agricola Ci.da to Garching 214, Elita to MTG FRUCT 165, Agrimessina to Garching 142</t>
        </is>
      </c>
      <c r="F61" s="11" t="inlineStr">
        <is>
          <t>-</t>
        </is>
      </c>
      <c r="G61" s="12" t="n"/>
      <c r="H61" s="12" t="inlineStr">
        <is>
          <t>Not run</t>
        </is>
      </c>
      <c r="I61" s="12" t="n"/>
    </row>
    <row r="62">
      <c r="A62" s="11" t="inlineStr">
        <is>
          <t>T061</t>
        </is>
      </c>
      <c r="B62" s="11" t="inlineStr">
        <is>
          <t>6. Drill-downs</t>
        </is>
      </c>
      <c r="C62" s="11" t="inlineStr">
        <is>
          <t>Drill-down</t>
        </is>
      </c>
      <c r="D62" s="11" t="inlineStr">
        <is>
          <t>Parent: alarm rate by mode -&gt; Ocean by Carrier</t>
        </is>
      </c>
      <c r="E62" s="11" t="inlineStr">
        <is>
          <t>MSC (98% alarmed) is the main Ocean carrier; Ocean overall 96%</t>
        </is>
      </c>
      <c r="F62" s="11" t="inlineStr">
        <is>
          <t>-</t>
        </is>
      </c>
      <c r="G62" s="12" t="n"/>
      <c r="H62" s="12" t="inlineStr">
        <is>
          <t>Not run</t>
        </is>
      </c>
      <c r="I62" s="12" t="n"/>
    </row>
    <row r="63">
      <c r="A63" s="11" t="inlineStr">
        <is>
          <t>T062</t>
        </is>
      </c>
      <c r="B63" s="11" t="inlineStr">
        <is>
          <t>6. Drill-downs</t>
        </is>
      </c>
      <c r="C63" s="11" t="inlineStr">
        <is>
          <t>Quality</t>
        </is>
      </c>
      <c r="D63" s="11" t="inlineStr">
        <is>
          <t>Suggested drill-down groups by parent's own column</t>
        </is>
      </c>
      <c r="E63" s="11" t="inlineStr">
        <is>
          <t>Must NOT happen (Carrier under Carrier is wrong)</t>
        </is>
      </c>
      <c r="F63" s="11" t="inlineStr">
        <is>
          <t>-</t>
        </is>
      </c>
      <c r="G63" s="12" t="n"/>
      <c r="H63" s="12" t="inlineStr">
        <is>
          <t>Not run</t>
        </is>
      </c>
      <c r="I63" s="12" t="n"/>
    </row>
    <row r="64">
      <c r="A64" s="11" t="inlineStr">
        <is>
          <t>T063</t>
        </is>
      </c>
      <c r="B64" s="11" t="inlineStr">
        <is>
          <t>6. Drill-downs</t>
        </is>
      </c>
      <c r="C64" s="11" t="inlineStr">
        <is>
          <t>Quality</t>
        </is>
      </c>
      <c r="D64" s="11" t="inlineStr">
        <is>
          <t>Drill-down uses a dropped column</t>
        </is>
      </c>
      <c r="E64" s="11" t="inlineStr">
        <is>
          <t>Modal shows the error text and a Retry button (not a blank window)</t>
        </is>
      </c>
      <c r="F64" s="11" t="inlineStr">
        <is>
          <t>-</t>
        </is>
      </c>
      <c r="G64" s="12" t="n"/>
      <c r="H64" s="12" t="inlineStr">
        <is>
          <t>Not run</t>
        </is>
      </c>
      <c r="I64" s="12" t="n"/>
    </row>
    <row r="65">
      <c r="A65" s="11" t="inlineStr">
        <is>
          <t>T064</t>
        </is>
      </c>
      <c r="B65" s="11" t="inlineStr">
        <is>
          <t>6. Drill-downs</t>
        </is>
      </c>
      <c r="C65" s="11" t="inlineStr">
        <is>
          <t>Suggest more</t>
        </is>
      </c>
      <c r="D65" s="11" t="inlineStr">
        <is>
          <t>Click 'Suggest more' 3 times</t>
        </is>
      </c>
      <c r="E65" s="11" t="inlineStr">
        <is>
          <t>New suggestions differ from earlier names; appended; numbering continues; button in header row</t>
        </is>
      </c>
      <c r="F65" s="11" t="inlineStr">
        <is>
          <t>-</t>
        </is>
      </c>
      <c r="G65" s="12" t="n"/>
      <c r="H65" s="12" t="inlineStr">
        <is>
          <t>Not run</t>
        </is>
      </c>
      <c r="I65" s="12" t="n"/>
    </row>
    <row r="66">
      <c r="A66" s="11" t="inlineStr">
        <is>
          <t>T065</t>
        </is>
      </c>
      <c r="B66" s="11" t="inlineStr">
        <is>
          <t>6. Drill-downs</t>
        </is>
      </c>
      <c r="C66" s="11" t="inlineStr">
        <is>
          <t>UI</t>
        </is>
      </c>
      <c r="D66" s="11" t="inlineStr">
        <is>
          <t>Checkbox removed</t>
        </is>
      </c>
      <c r="E66" s="11" t="inlineStr">
        <is>
          <t>No checkbox beside drill-downs; Explore more still adds to Selected tab</t>
        </is>
      </c>
      <c r="F66" s="11" t="inlineStr">
        <is>
          <t>-</t>
        </is>
      </c>
      <c r="G66" s="12" t="n"/>
      <c r="H66" s="12" t="inlineStr">
        <is>
          <t>Not run</t>
        </is>
      </c>
      <c r="I66" s="12" t="n"/>
    </row>
    <row r="67">
      <c r="A67" s="11" t="inlineStr">
        <is>
          <t>T066</t>
        </is>
      </c>
      <c r="B67" s="11" t="inlineStr">
        <is>
          <t>7. Report</t>
        </is>
      </c>
      <c r="C67" s="11" t="inlineStr">
        <is>
          <t>Numbers</t>
        </is>
      </c>
      <c r="D67" s="11" t="inlineStr">
        <is>
          <t>Headline numbers</t>
        </is>
      </c>
      <c r="E67" s="11" t="inlineStr">
        <is>
          <t>Match stages 4-5: 2,370 trips, 10.4% in spec, ~69% alarmed</t>
        </is>
      </c>
      <c r="F67" s="11" t="inlineStr">
        <is>
          <t>-</t>
        </is>
      </c>
      <c r="G67" s="12" t="n"/>
      <c r="H67" s="12" t="inlineStr">
        <is>
          <t>Not run</t>
        </is>
      </c>
      <c r="I67" s="12" t="n"/>
    </row>
    <row r="68">
      <c r="A68" s="11" t="inlineStr">
        <is>
          <t>T067</t>
        </is>
      </c>
      <c r="B68" s="11" t="inlineStr">
        <is>
          <t>7. Report</t>
        </is>
      </c>
      <c r="C68" s="11" t="inlineStr">
        <is>
          <t>Charts</t>
        </is>
      </c>
      <c r="D68" s="11" t="inlineStr">
        <is>
          <t>Chart types in deck</t>
        </is>
      </c>
      <c r="E68" s="11" t="inlineStr">
        <is>
          <t>Same as chosen in Analysis</t>
        </is>
      </c>
      <c r="F68" s="11" t="inlineStr">
        <is>
          <t>-</t>
        </is>
      </c>
      <c r="G68" s="12" t="n"/>
      <c r="H68" s="12" t="inlineStr">
        <is>
          <t>Not run</t>
        </is>
      </c>
      <c r="I68" s="12" t="n"/>
    </row>
    <row r="69">
      <c r="A69" s="11" t="inlineStr">
        <is>
          <t>T068</t>
        </is>
      </c>
      <c r="B69" s="11" t="inlineStr">
        <is>
          <t>7. Report</t>
        </is>
      </c>
      <c r="C69" s="11" t="inlineStr">
        <is>
          <t>Exclusions</t>
        </is>
      </c>
      <c r="D69" s="11" t="inlineStr">
        <is>
          <t>Failed / refused cards (revenue etc.)</t>
        </is>
      </c>
      <c r="E69" s="11" t="inlineStr">
        <is>
          <t>Not included in the deck</t>
        </is>
      </c>
      <c r="F69" s="11" t="inlineStr">
        <is>
          <t>-</t>
        </is>
      </c>
      <c r="G69" s="12" t="n"/>
      <c r="H69" s="12" t="inlineStr">
        <is>
          <t>Not run</t>
        </is>
      </c>
      <c r="I69" s="12" t="n"/>
    </row>
    <row r="70">
      <c r="A70" s="11" t="inlineStr">
        <is>
          <t>T069</t>
        </is>
      </c>
      <c r="B70" s="11" t="inlineStr">
        <is>
          <t>7. Report</t>
        </is>
      </c>
      <c r="C70" s="11" t="inlineStr">
        <is>
          <t>Translation</t>
        </is>
      </c>
      <c r="D70" s="11" t="inlineStr">
        <is>
          <t>Translate the report</t>
        </is>
      </c>
      <c r="E70" s="11" t="inlineStr">
        <is>
          <t>Numbers and column names unchanged</t>
        </is>
      </c>
      <c r="F70" s="11" t="inlineStr">
        <is>
          <t>-</t>
        </is>
      </c>
      <c r="G70" s="12" t="n"/>
      <c r="H70" s="12" t="inlineStr">
        <is>
          <t>Not run</t>
        </is>
      </c>
      <c r="I70" s="12" t="n"/>
    </row>
  </sheetData>
  <autoFilter ref="A1:I70"/>
  <conditionalFormatting sqref="H2:H7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H2:H70" showDropDown="0" showInputMessage="0" showErrorMessage="0" allowBlank="0" type="list">
      <formula1>"Not run,Pass,Fail,Blocked"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2026-09-29T09:35:52Z</dcterms:created>
  <dcterms:modified xmlns:dcterms="http://purl.org/dc/terms/" xmlns:xsi="http://www.w3.org/2001/XMLSchema-instance" xsi:type="dcterms:W3CDTF">2026-09-29T09:35:52Z</dcterms:modified>
</cp:coreProperties>
</file>