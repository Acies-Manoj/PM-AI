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teps" sheetId="1" state="visible" r:id="rId1"/>
    <sheet xmlns:r="http://schemas.openxmlformats.org/officeDocument/2006/relationships" name="Legend" sheetId="2" state="visible" r:id="rId2"/>
    <sheet xmlns:r="http://schemas.openxmlformats.org/officeDocument/2006/relationships" name="Agents" sheetId="3" state="visible" r:id="rId3"/>
    <sheet xmlns:r="http://schemas.openxmlformats.org/officeDocument/2006/relationships" name="Diagram Notes" sheetId="4" state="visible" r:id="rId4"/>
    <sheet xmlns:r="http://schemas.openxmlformats.org/officeDocument/2006/relationships" name="LLM Prompts" sheetId="5" state="visible" r:id="rId5"/>
    <sheet xmlns:r="http://schemas.openxmlformats.org/officeDocument/2006/relationships" name="LLM Calls - Bedrock Models" sheetId="6" state="visible" r:id="rId6"/>
    <sheet xmlns:r="http://schemas.openxmlformats.org/officeDocument/2006/relationships" name="Cost Per Run" sheetId="7" state="visible" r:id="rId7"/>
    <sheet xmlns:r="http://schemas.openxmlformats.org/officeDocument/2006/relationships" name="AWS Calculator Estimate" sheetId="8" state="visible" r:id="rId8"/>
    <sheet xmlns:r="http://schemas.openxmlformats.org/officeDocument/2006/relationships" name="AI Call IO Schemas" sheetId="9" state="visible" r:id="rId9"/>
  </sheets>
  <definedNames/>
  <calcPr calcId="124519" fullCalcOnLoad="1"/>
</workbook>
</file>

<file path=xl/styles.xml><?xml version="1.0" encoding="utf-8"?>
<styleSheet xmlns="http://schemas.openxmlformats.org/spreadsheetml/2006/main">
  <numFmts count="4">
    <numFmt numFmtId="164" formatCode="$#,##0.000000"/>
    <numFmt numFmtId="165" formatCode="$#,##0.0000"/>
    <numFmt numFmtId="166" formatCode="$#,##0.00"/>
    <numFmt numFmtId="167" formatCode="0.0%"/>
  </numFmts>
  <fonts count="21">
    <font>
      <name val="Calibri"/>
      <family val="2"/>
      <color theme="1"/>
      <sz val="11"/>
      <scheme val="minor"/>
    </font>
    <font>
      <name val="Arial"/>
      <b val="1"/>
      <color rgb="00FFFFFF"/>
      <sz val="11"/>
    </font>
    <font>
      <name val="Arial"/>
      <color rgb="00000000"/>
      <sz val="10"/>
    </font>
    <font>
      <name val="Arial"/>
      <b val="1"/>
      <color rgb="00000000"/>
      <sz val="10"/>
    </font>
    <font>
      <name val="Arial"/>
      <b val="1"/>
      <color rgb="007030A0"/>
      <sz val="10"/>
    </font>
    <font>
      <name val="Arial"/>
      <color rgb="00000000"/>
      <sz val="11"/>
    </font>
    <font>
      <name val="Arial"/>
      <i val="1"/>
      <sz val="10"/>
    </font>
    <font>
      <name val="Arial"/>
      <b val="1"/>
      <color rgb="00FFFFFF"/>
      <sz val="14"/>
    </font>
    <font>
      <name val="Arial"/>
      <b val="1"/>
      <sz val="10"/>
    </font>
    <font>
      <name val="Arial"/>
      <b val="1"/>
      <color rgb="00FFFFFF"/>
      <sz val="12"/>
    </font>
    <font>
      <name val="Consolas"/>
      <sz val="9.5"/>
    </font>
    <font>
      <name val="Arial"/>
      <sz val="10"/>
    </font>
    <font>
      <name val="Arial"/>
      <b val="1"/>
      <color rgb="00FFFFFF"/>
      <sz val="13"/>
    </font>
    <font>
      <name val="Arial"/>
      <i val="1"/>
      <color rgb="009C0006"/>
      <sz val="10"/>
    </font>
    <font>
      <name val="Arial"/>
      <color rgb="001F5C1F"/>
      <sz val="10"/>
    </font>
    <font>
      <name val="Arial"/>
      <b val="1"/>
      <color rgb="001F3864"/>
      <sz val="11"/>
    </font>
    <font>
      <name val="Arial"/>
      <b val="1"/>
      <sz val="11"/>
    </font>
    <font>
      <name val="Arial"/>
      <b val="1"/>
      <sz val="12"/>
    </font>
    <font>
      <name val="Arial"/>
      <i val="1"/>
      <color rgb="00555555"/>
      <sz val="9"/>
    </font>
    <font>
      <name val="Arial"/>
      <i val="1"/>
      <color rgb="00777777"/>
      <sz val="10"/>
    </font>
    <font>
      <name val="Arial"/>
      <i val="1"/>
      <color rgb="00777777"/>
      <sz val="9.5"/>
    </font>
  </fonts>
  <fills count="9">
    <fill>
      <patternFill/>
    </fill>
    <fill>
      <patternFill patternType="gray125"/>
    </fill>
    <fill>
      <patternFill patternType="solid">
        <fgColor rgb="001F3864"/>
      </patternFill>
    </fill>
    <fill>
      <patternFill patternType="solid">
        <fgColor rgb="00D9E1F2"/>
      </patternFill>
    </fill>
    <fill>
      <patternFill patternType="solid">
        <fgColor rgb="00E2D9F3"/>
      </patternFill>
    </fill>
    <fill>
      <patternFill patternType="solid">
        <fgColor rgb="00FCE4D6"/>
      </patternFill>
    </fill>
    <fill>
      <patternFill patternType="solid">
        <fgColor rgb="00E2EFDA"/>
      </patternFill>
    </fill>
    <fill>
      <patternFill patternType="solid">
        <fgColor rgb="00FFF2CC"/>
      </patternFill>
    </fill>
    <fill>
      <patternFill patternType="solid">
        <fgColor rgb="00D6DCE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4" fillId="0"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7" borderId="1" applyAlignment="1" pivotButton="0" quotePrefix="0" xfId="0">
      <alignment horizontal="center" vertical="top"/>
    </xf>
    <xf numFmtId="0" fontId="2" fillId="7" borderId="1" applyAlignment="1" pivotButton="0" quotePrefix="0" xfId="0">
      <alignment horizontal="left" vertical="top" wrapText="1"/>
    </xf>
    <xf numFmtId="0" fontId="2" fillId="8" borderId="1" applyAlignment="1" pivotButton="0" quotePrefix="0" xfId="0">
      <alignment horizontal="center" vertical="top"/>
    </xf>
    <xf numFmtId="0" fontId="2" fillId="8" borderId="1" applyAlignment="1" pivotButton="0" quotePrefix="0" xfId="0">
      <alignment horizontal="left" vertical="top" wrapText="1"/>
    </xf>
    <xf numFmtId="0" fontId="1" fillId="2"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2" borderId="0" pivotButton="0" quotePrefix="0" xfId="0"/>
    <xf numFmtId="0" fontId="8" fillId="3" borderId="0" applyAlignment="1" pivotButton="0" quotePrefix="0" xfId="0">
      <alignment horizontal="left" vertical="top" wrapText="1"/>
    </xf>
    <xf numFmtId="0" fontId="9" fillId="2" borderId="0" applyAlignment="1" pivotButton="0" quotePrefix="0" xfId="0">
      <alignment horizontal="left" vertical="center"/>
    </xf>
    <xf numFmtId="0" fontId="8"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1" fillId="2" borderId="1" applyAlignment="1" pivotButton="0" quotePrefix="0" xfId="0">
      <alignment horizontal="left" vertical="top" wrapText="1"/>
    </xf>
    <xf numFmtId="0" fontId="5" fillId="0" borderId="1" applyAlignment="1" pivotButton="0" quotePrefix="0" xfId="0">
      <alignment horizontal="left" vertical="top" wrapText="1"/>
    </xf>
    <xf numFmtId="0" fontId="12" fillId="2" borderId="0" pivotButton="0" quotePrefix="0" xfId="0"/>
    <xf numFmtId="0" fontId="8" fillId="3" borderId="0" pivotButton="0" quotePrefix="0" xfId="0"/>
    <xf numFmtId="0" fontId="8" fillId="0" borderId="1" applyAlignment="1" pivotButton="0" quotePrefix="0" xfId="0">
      <alignment horizontal="left" vertical="top" wrapText="1"/>
    </xf>
    <xf numFmtId="0" fontId="9" fillId="2" borderId="0" applyAlignment="1" pivotButton="0" quotePrefix="0" xfId="0">
      <alignment horizontal="left"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11" fillId="3" borderId="1" applyAlignment="1" pivotButton="0" quotePrefix="0" xfId="0">
      <alignment horizontal="left" vertical="top" wrapText="1"/>
    </xf>
    <xf numFmtId="0" fontId="11" fillId="5" borderId="1" applyAlignment="1" pivotButton="0" quotePrefix="0" xfId="0">
      <alignment horizontal="left" vertical="top" wrapText="1"/>
    </xf>
    <xf numFmtId="0" fontId="11" fillId="6" borderId="1" applyAlignment="1" pivotButton="0" quotePrefix="0" xfId="0">
      <alignment horizontal="left" vertical="top" wrapText="1"/>
    </xf>
    <xf numFmtId="0" fontId="11" fillId="7" borderId="1" applyAlignment="1" pivotButton="0" quotePrefix="0" xfId="0">
      <alignment horizontal="left" vertical="top" wrapText="1"/>
    </xf>
    <xf numFmtId="0" fontId="11" fillId="8" borderId="1" applyAlignment="1" pivotButton="0" quotePrefix="0" xfId="0">
      <alignment horizontal="left" vertical="top" wrapText="1"/>
    </xf>
    <xf numFmtId="0" fontId="8" fillId="0" borderId="0" pivotButton="0" quotePrefix="0" xfId="0"/>
    <xf numFmtId="0" fontId="11" fillId="0" borderId="0" applyAlignment="1" pivotButton="0" quotePrefix="0" xfId="0">
      <alignment horizontal="left" vertical="top" wrapText="1"/>
    </xf>
    <xf numFmtId="0" fontId="11" fillId="0" borderId="1" applyAlignment="1" pivotButton="0" quotePrefix="0" xfId="0">
      <alignment horizontal="center" vertical="top" wrapText="1"/>
    </xf>
    <xf numFmtId="0" fontId="15" fillId="3" borderId="1" applyAlignment="1" pivotButton="0" quotePrefix="0" xfId="0">
      <alignment horizontal="left" vertical="center"/>
    </xf>
    <xf numFmtId="0" fontId="0" fillId="3" borderId="1" pivotButton="0" quotePrefix="0" xfId="0"/>
    <xf numFmtId="164" fontId="11" fillId="0" borderId="1" applyAlignment="1" pivotButton="0" quotePrefix="0" xfId="0">
      <alignment horizontal="center" vertical="top" wrapText="1"/>
    </xf>
    <xf numFmtId="0" fontId="8" fillId="6" borderId="1" applyAlignment="1" pivotButton="0" quotePrefix="0" xfId="0">
      <alignment horizontal="left" vertical="top" wrapText="1"/>
    </xf>
    <xf numFmtId="0" fontId="8" fillId="6" borderId="1" applyAlignment="1" pivotButton="0" quotePrefix="0" xfId="0">
      <alignment horizontal="center" vertical="top" wrapText="1"/>
    </xf>
    <xf numFmtId="164" fontId="8" fillId="6" borderId="1" applyAlignment="1" pivotButton="0" quotePrefix="0" xfId="0">
      <alignment horizontal="center" vertical="top" wrapText="1"/>
    </xf>
    <xf numFmtId="0" fontId="0" fillId="0" borderId="4" pivotButton="0" quotePrefix="0" xfId="0"/>
    <xf numFmtId="0" fontId="0" fillId="0" borderId="5" pivotButton="0" quotePrefix="0" xfId="0"/>
    <xf numFmtId="0" fontId="16" fillId="6" borderId="1" applyAlignment="1" pivotButton="0" quotePrefix="0" xfId="0">
      <alignment horizontal="left" vertical="top" wrapText="1"/>
    </xf>
    <xf numFmtId="165" fontId="16" fillId="6" borderId="1" applyAlignment="1" pivotButton="0" quotePrefix="0" xfId="0">
      <alignment horizontal="center" vertical="top" wrapText="1"/>
    </xf>
    <xf numFmtId="166" fontId="11" fillId="0" borderId="1" applyAlignment="1" pivotButton="0" quotePrefix="0" xfId="0">
      <alignment horizontal="center" vertical="top" wrapText="1"/>
    </xf>
    <xf numFmtId="166" fontId="8" fillId="6" borderId="1" applyAlignment="1" pivotButton="0" quotePrefix="0" xfId="0">
      <alignment horizontal="center" vertical="top" wrapText="1"/>
    </xf>
    <xf numFmtId="165" fontId="11" fillId="0" borderId="1" applyAlignment="1" pivotButton="0" quotePrefix="0" xfId="0">
      <alignment horizontal="center" vertical="top" wrapText="1"/>
    </xf>
    <xf numFmtId="0" fontId="0" fillId="0" borderId="1" pivotButton="0" quotePrefix="0" xfId="0"/>
    <xf numFmtId="167" fontId="11" fillId="0" borderId="1" applyAlignment="1" pivotButton="0" quotePrefix="0" xfId="0">
      <alignment horizontal="center" vertical="top" wrapText="1"/>
    </xf>
    <xf numFmtId="0" fontId="0" fillId="5" borderId="1" pivotButton="0" quotePrefix="0" xfId="0"/>
    <xf numFmtId="0" fontId="6" fillId="5" borderId="1" applyAlignment="1" pivotButton="0" quotePrefix="0" xfId="0">
      <alignment horizontal="left" vertical="top" wrapText="1"/>
    </xf>
    <xf numFmtId="0" fontId="17" fillId="0" borderId="0" pivotButton="0" quotePrefix="0" xfId="0"/>
    <xf numFmtId="0" fontId="18" fillId="0" borderId="0" applyAlignment="1" pivotButton="0" quotePrefix="0" xfId="0">
      <alignment vertical="top" wrapText="1"/>
    </xf>
    <xf numFmtId="0" fontId="1" fillId="2" borderId="6" applyAlignment="1" pivotButton="0" quotePrefix="0" xfId="0">
      <alignment horizontal="center" vertical="top" wrapText="1"/>
    </xf>
    <xf numFmtId="0" fontId="1" fillId="2" borderId="6" applyAlignment="1" pivotButton="0" quotePrefix="0" xfId="0">
      <alignment horizontal="left" vertical="top" wrapText="1"/>
    </xf>
    <xf numFmtId="0" fontId="11" fillId="0" borderId="6" applyAlignment="1" pivotButton="0" quotePrefix="0" xfId="0">
      <alignment horizontal="center" vertical="top" wrapText="1"/>
    </xf>
    <xf numFmtId="0" fontId="8" fillId="0" borderId="6" applyAlignment="1" pivotButton="0" quotePrefix="0" xfId="0">
      <alignment horizontal="left" vertical="top" wrapText="1"/>
    </xf>
    <xf numFmtId="0" fontId="11" fillId="0" borderId="6" applyAlignment="1" pivotButton="0" quotePrefix="0" xfId="0">
      <alignment horizontal="left" vertical="top" wrapText="1"/>
    </xf>
    <xf numFmtId="0" fontId="19" fillId="0" borderId="6" applyAlignment="1" pivotButton="0" quotePrefix="0" xfId="0">
      <alignment horizontal="center" vertical="top" wrapText="1"/>
    </xf>
    <xf numFmtId="0" fontId="8" fillId="0" borderId="6" applyAlignment="1" pivotButton="0" quotePrefix="0" xfId="0">
      <alignment horizontal="center" vertical="top" wrapText="1"/>
    </xf>
    <xf numFmtId="0" fontId="8" fillId="0" borderId="0" applyAlignment="1" pivotButton="0" quotePrefix="0" xfId="0">
      <alignment horizontal="left" vertical="top" wrapText="1"/>
    </xf>
    <xf numFmtId="0" fontId="10" fillId="0" borderId="0" applyAlignment="1" pivotButton="0" quotePrefix="0" xfId="0">
      <alignment horizontal="left" vertical="top" wrapText="1"/>
    </xf>
    <xf numFmtId="0" fontId="11" fillId="0" borderId="0" pivotButton="0" quotePrefix="0" xfId="0"/>
    <xf numFmtId="0" fontId="20" fillId="0" borderId="0" applyAlignment="1" pivotButton="0" quotePrefix="0" xfId="0">
      <alignment horizontal="left" vertical="top" wrapText="1"/>
    </xf>
    <xf numFmtId="0" fontId="11" fillId="0"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40" customWidth="1" min="3" max="3"/>
    <col width="22" customWidth="1" min="4" max="4"/>
    <col width="34" customWidth="1" min="5" max="5"/>
    <col width="36" customWidth="1" min="6" max="6"/>
    <col width="34" customWidth="1" min="7" max="7"/>
    <col width="58" customWidth="1" min="8" max="8"/>
    <col width="26" customWidth="1" min="9" max="9"/>
    <col width="70" customWidth="1" min="10" max="10"/>
  </cols>
  <sheetData>
    <row r="1" ht="24" customHeight="1">
      <c r="A1" s="1" t="inlineStr">
        <is>
          <t>#</t>
        </is>
      </c>
      <c r="B1" s="1" t="inlineStr">
        <is>
          <t>Phase</t>
        </is>
      </c>
      <c r="C1" s="1" t="inlineStr">
        <is>
          <t>Diagram Box / Step</t>
        </is>
      </c>
      <c r="D1" s="1" t="inlineStr">
        <is>
          <t>Type</t>
        </is>
      </c>
      <c r="E1" s="1" t="inlineStr">
        <is>
          <t>Method / Model</t>
        </is>
      </c>
      <c r="F1" s="1" t="inlineStr">
        <is>
          <t>Input</t>
        </is>
      </c>
      <c r="G1" s="1" t="inlineStr">
        <is>
          <t>Output</t>
        </is>
      </c>
      <c r="H1" s="1" t="inlineStr">
        <is>
          <t>What it does</t>
        </is>
      </c>
    </row>
    <row r="2" ht="60" customHeight="1">
      <c r="A2" s="2" t="n">
        <v>1</v>
      </c>
      <c r="B2" s="3" t="inlineStr">
        <is>
          <t>1) Data Source &amp; Input</t>
        </is>
      </c>
      <c r="C2" s="4" t="inlineStr">
        <is>
          <t>Aggregated Data (Trip summary)</t>
        </is>
      </c>
      <c r="D2" s="5" t="inlineStr">
        <is>
          <t>Deterministic</t>
        </is>
      </c>
      <c r="E2" s="4" t="inlineStr">
        <is>
          <t>pandas/openpyxl header-row detection</t>
        </is>
      </c>
      <c r="F2" s="4" t="inlineStr">
        <is>
          <t>Raw uploaded aggregated shipment file (.xlsx/.xlsm/.csv)</t>
        </is>
      </c>
      <c r="G2" s="4" t="inlineStr">
        <is>
          <t>Pandas DataFrame + parsing warnings</t>
        </is>
      </c>
      <c r="H2" s="4" t="inlineStr">
        <is>
          <t>Loads the trip-summary export, auto-detecting the real header row (vs. a title or blank spacer row above it).</t>
        </is>
      </c>
    </row>
    <row r="3" ht="60" customHeight="1">
      <c r="A3" s="2" t="n">
        <v>2</v>
      </c>
      <c r="B3" s="3" t="inlineStr">
        <is>
          <t>1) Data Source &amp; Input</t>
        </is>
      </c>
      <c r="C3" s="4" t="inlineStr">
        <is>
          <t>Raw Sensor Data (Light, Humidity &amp; Temperature)</t>
        </is>
      </c>
      <c r="D3" s="5" t="inlineStr">
        <is>
          <t>Deterministic</t>
        </is>
      </c>
      <c r="E3" s="4" t="inlineStr">
        <is>
          <t>openpyxl sheet-name matching + wide-to-structured reshape</t>
        </is>
      </c>
      <c r="F3" s="4" t="inlineStr">
        <is>
          <t>Temperature/Light 'data point matrix' Excel files (one column per trip)</t>
        </is>
      </c>
      <c r="G3" s="4" t="inlineStr">
        <is>
          <t>Parsed per-trip time-series readings</t>
        </is>
      </c>
      <c r="H3" s="4" t="inlineStr">
        <is>
          <t>Guesses the correct worksheet by name, then reshapes the one-column-per-trip layout into structured records.</t>
        </is>
      </c>
    </row>
    <row r="4" ht="60" customHeight="1">
      <c r="A4" s="2" t="n">
        <v>3</v>
      </c>
      <c r="B4" s="3" t="inlineStr">
        <is>
          <t>1) Data Source &amp; Input</t>
        </is>
      </c>
      <c r="C4" s="4" t="inlineStr">
        <is>
          <t>Client Brief (Business context)</t>
        </is>
      </c>
      <c r="D4" s="5" t="inlineStr">
        <is>
          <t>External API (not an LLM)</t>
        </is>
      </c>
      <c r="E4" s="4" t="inlineStr">
        <is>
          <t>DeepL Translator API, auto-detect source language</t>
        </is>
      </c>
      <c r="F4" s="4" t="inlineStr">
        <is>
          <t>Client brief text, any language</t>
        </is>
      </c>
      <c r="G4" s="4" t="inlineStr">
        <is>
          <t>English translation + detected source language</t>
        </is>
      </c>
      <c r="H4" s="4" t="inlineStr">
        <is>
          <t>Auto-detects the brief's language and translates it to English before any agent reads it. Falls back to the original text unchanged if DeepL is unavailable.</t>
        </is>
      </c>
    </row>
    <row r="5" ht="84" customHeight="1">
      <c r="A5" s="2" t="n">
        <v>4</v>
      </c>
      <c r="B5" s="3" t="inlineStr">
        <is>
          <t>1) Data Source &amp; Input</t>
        </is>
      </c>
      <c r="C5" s="4" t="inlineStr">
        <is>
          <t>Planner Agent (Reads the brief and routes to Feature and Insight agent)</t>
        </is>
      </c>
      <c r="D5" s="8" t="inlineStr">
        <is>
          <t>LLM Call</t>
        </is>
      </c>
      <c r="E5" s="4" t="inlineStr">
        <is>
          <t>Groq / OpenRouter, model openai/gpt-oss-120b</t>
        </is>
      </c>
      <c r="F5" s="4" t="inlineStr">
        <is>
          <t>Translated brief + a capped catalog of existing feature/analysis/KPI names &amp; descriptions</t>
        </is>
      </c>
      <c r="G5" s="4" t="inlineStr">
        <is>
          <t>interpreted_requirement, business_objective, and a list of Recommendations (type, status, draft definition, confidence, validation)</t>
        </is>
      </c>
      <c r="H5" s="4" t="inlineStr">
        <is>
          <t>Classifies every distinct ask as a feature, an analysis, both, or a configuration, and drafts it for the PM to review/approve/edit. Its APPROVED output is what feeds BOTH 'Planner-Suggested Features' and 'Planner-Suggested Analysis' later -- the diagram's right-side loop-back arrows.</t>
        </is>
      </c>
    </row>
    <row r="6" ht="60" customHeight="1">
      <c r="A6" s="9" t="n">
        <v>5</v>
      </c>
      <c r="B6" s="10" t="inlineStr">
        <is>
          <t>2) Outlier Screening</t>
        </is>
      </c>
      <c r="C6" s="4" t="inlineStr">
        <is>
          <t>Basic Overall Check (Check on aggregated data)</t>
        </is>
      </c>
      <c r="D6" s="5" t="inlineStr">
        <is>
          <t>Statistical / Deterministic</t>
        </is>
      </c>
      <c r="E6" s="4" t="inlineStr">
        <is>
          <t>8 rule-based checks: null %, distinct-value count, exact/key duplicate detection, logical range checks, legacy IQR outlier test, missing-identifier rows</t>
        </is>
      </c>
      <c r="F6" s="4" t="inlineStr">
        <is>
          <t>Current session DataFrame</t>
        </is>
      </c>
      <c r="G6" s="4" t="inlineStr">
        <is>
          <t>List of AuditIssue (category, severity, description, affected rows/columns, sample rows, decision options)</t>
        </is>
      </c>
      <c r="H6" s="4" t="inlineStr">
        <is>
          <t>The general data-quality pass across every column -- not specific to any one metric.</t>
        </is>
      </c>
    </row>
    <row r="7" ht="60" customHeight="1">
      <c r="A7" s="9" t="n">
        <v>6</v>
      </c>
      <c r="B7" s="10" t="inlineStr">
        <is>
          <t>2) Outlier Screening</t>
        </is>
      </c>
      <c r="C7" s="4" t="inlineStr">
        <is>
          <t>Segment Days Outlier (Segments over the length limit)</t>
        </is>
      </c>
      <c r="D7" s="5" t="inlineStr">
        <is>
          <t>Statistical</t>
        </is>
      </c>
      <c r="E7" s="4" t="inlineStr">
        <is>
          <t>Tukey IQR fence (1.5x IQR) per Origin→Destination lane, with peer-group shrinkage for thin lanes (≤10 trips)</t>
        </is>
      </c>
      <c r="F7" s="4" t="inlineStr">
        <is>
          <t>Aggregated trip data (Segment Length in Days, Origin, Destination)</t>
        </is>
      </c>
      <c r="G7" s="4" t="inlineStr">
        <is>
          <t>Per-trip duration_outlier flag + status + lower/upper fence</t>
        </is>
      </c>
      <c r="H7" s="4" t="inlineStr">
        <is>
          <t>Flags trips whose transit duration is a statistical outlier for their OWN lane, borrowing statistical power from a peer group (same Destination) when a lane has too few trips of its own.</t>
        </is>
      </c>
    </row>
    <row r="8" ht="60" customHeight="1">
      <c r="A8" s="9" t="n">
        <v>7</v>
      </c>
      <c r="B8" s="10" t="inlineStr">
        <is>
          <t>2) Outlier Screening</t>
        </is>
      </c>
      <c r="C8" s="4" t="inlineStr">
        <is>
          <t>Mean-Temp Outlier (Temp deviations by product line)</t>
        </is>
      </c>
      <c r="D8" s="5" t="inlineStr">
        <is>
          <t>Statistical</t>
        </is>
      </c>
      <c r="E8" s="4" t="inlineStr">
        <is>
          <t>Fixed threshold rules + within-peer-group 95th-percentile comparison</t>
        </is>
      </c>
      <c r="F8" s="4" t="inlineStr">
        <is>
          <t>Aggregated trip sensor stats (mean/min/max/std/MKT temperature, configured Limit Low/High)</t>
        </is>
      </c>
      <c r="G8" s="4" t="inlineStr">
        <is>
          <t>9 boolean flag columns + flag_count</t>
        </is>
      </c>
      <c r="H8" s="4" t="inlineStr">
        <is>
          <t>Flags each trip against its OWN configured temperature limits, and against the 95th percentile within its own Origin/Destination/Product peer group for 4 of the 9 checks.</t>
        </is>
      </c>
    </row>
    <row r="9" ht="60" customHeight="1">
      <c r="A9" s="9" t="n">
        <v>8</v>
      </c>
      <c r="B9" s="10" t="inlineStr">
        <is>
          <t>2) Outlier Screening</t>
        </is>
      </c>
      <c r="C9" s="4" t="inlineStr">
        <is>
          <t>(Not shown in the reference diagram) Root-Cause Hypothesis Scoring</t>
        </is>
      </c>
      <c r="D9" s="5" t="inlineStr">
        <is>
          <t>Deterministic (rule-based, not ML)</t>
        </is>
      </c>
      <c r="E9" s="4" t="inlineStr">
        <is>
          <t>Fixed weighted hypothesis table scored against which flags co-fired</t>
        </is>
      </c>
      <c r="F9" s="4" t="inlineStr">
        <is>
          <t>One flagged trip's row (which of the 9 flags fired)</t>
        </is>
      </c>
      <c r="G9" s="4" t="inlineStr">
        <is>
          <t>Ranked list of root-cause hypotheses (name, score, confidence band, rationale)</t>
        </is>
      </c>
      <c r="H9" s="4" t="inlineStr">
        <is>
          <t>Exists in the current code (anomaly_detection.generate_rca), sitting between outlier flagging and the PM's review -- this diagram doesn't depict it as its own box, included here for completeness.</t>
        </is>
      </c>
    </row>
    <row r="10" ht="97" customHeight="1">
      <c r="A10" s="9" t="n">
        <v>9</v>
      </c>
      <c r="B10" s="10" t="inlineStr">
        <is>
          <t>2) Outlier Screening</t>
        </is>
      </c>
      <c r="C10" s="4" t="inlineStr">
        <is>
          <t>Summary generation (AI recommends an action per finding)</t>
        </is>
      </c>
      <c r="D10" s="8" t="inlineStr">
        <is>
          <t>LLM Call</t>
        </is>
      </c>
      <c r="E10" s="4" t="inlineStr">
        <is>
          <t>Groq / OpenRouter, model openai/gpt-oss-120b</t>
        </is>
      </c>
      <c r="F10" s="4" t="inlineStr">
        <is>
          <t>Row/column counts + the deterministic findings from the 3 checks above</t>
        </is>
      </c>
      <c r="G10" s="4" t="inlineStr">
        <is>
          <t>{summary (1-2 sentence verdict), recommended action + note per finding}</t>
        </is>
      </c>
      <c r="H10" s="4" t="inlineStr">
        <is>
          <t>IMPORTANT SEQUENCING NOTE: in the real code this runs BEFORE HITL, at upload time -- it PRE-FILLS the recommended action that HITL below then approves or overrides. The reference diagram's left-to-right arrow (checks → HITL → Summary) implies the opposite order; the actual flow is checks → AI recommends → PM decides.</t>
        </is>
      </c>
    </row>
    <row r="11" ht="60" customHeight="1">
      <c r="A11" s="9" t="n">
        <v>10</v>
      </c>
      <c r="B11" s="10" t="inlineStr">
        <is>
          <t>2) Outlier Screening</t>
        </is>
      </c>
      <c r="C11" s="4" t="inlineStr">
        <is>
          <t>HITL (Keep/clean/remove flagged trip)</t>
        </is>
      </c>
      <c r="D11" s="5" t="inlineStr">
        <is>
          <t>Human decision (not automated)</t>
        </is>
      </c>
      <c r="E11" s="4" t="inlineStr">
        <is>
          <t>Manual review via the Audit page's resolve action</t>
        </is>
      </c>
      <c r="F11" s="4" t="inlineStr">
        <is>
          <t>One AuditIssue (pre-filled with the AI's recommended action) + the PM's chosen decision</t>
        </is>
      </c>
      <c r="G11" s="4" t="inlineStr">
        <is>
          <t>Updated session DataFrame + a resolution note</t>
        </is>
      </c>
      <c r="H11" s="4" t="inlineStr">
        <is>
          <t>The PM applies or overrides the AI's suggested action for each finding, one at a time. This is the actual last step of Outlier Screening, after Summary generation above -- see the sequencing note there.</t>
        </is>
      </c>
    </row>
    <row r="12" ht="60" customHeight="1">
      <c r="A12" s="11" t="n">
        <v>11</v>
      </c>
      <c r="B12" s="12" t="inlineStr">
        <is>
          <t>3) Feature Engineering</t>
        </is>
      </c>
      <c r="C12" s="4" t="inlineStr">
        <is>
          <t>Predefined Features (Fixed, deterministic features applied by default)</t>
        </is>
      </c>
      <c r="D12" s="5" t="inlineStr">
        <is>
          <t>Deterministic</t>
        </is>
      </c>
      <c r="E12" s="4" t="inlineStr">
        <is>
          <t>5 calculation templates: lookup/map, month extraction, duration, ratio, restricted-formula eval</t>
        </is>
      </c>
      <c r="F12" s="4" t="inlineStr">
        <is>
          <t>Session DataFrame + the uploaded/default Customer KPI Profile's feature-spec JSON</t>
        </is>
      </c>
      <c r="G12" s="4" t="inlineStr">
        <is>
          <t>DataFrame with those columns appended</t>
        </is>
      </c>
      <c r="H12" s="4" t="inlineStr">
        <is>
          <t>The bundled or uploaded baseline feature set, computed automatically for every session with no AI involved.</t>
        </is>
      </c>
    </row>
    <row r="13" ht="60" customHeight="1">
      <c r="A13" s="11" t="n">
        <v>12</v>
      </c>
      <c r="B13" s="12" t="inlineStr">
        <is>
          <t>3) Feature Engineering</t>
        </is>
      </c>
      <c r="C13" s="4" t="inlineStr">
        <is>
          <t>AI Suggests a Feature (AI surfaces every feature the data could support)</t>
        </is>
      </c>
      <c r="D13" s="8" t="inlineStr">
        <is>
          <t>LLM Call</t>
        </is>
      </c>
      <c r="E13" s="4" t="inlineStr">
        <is>
          <t>Groq / OpenRouter, model openai/gpt-oss-120b</t>
        </is>
      </c>
      <c r="F13" s="4" t="inlineStr">
        <is>
          <t>Column names, dtypes, and 1 sample value per column</t>
        </is>
      </c>
      <c r="G13" s="4" t="inlineStr">
        <is>
          <t>Up to 5 feature drafts (name, description, type, type-specific fields)</t>
        </is>
      </c>
      <c r="H13" s="4" t="inlineStr">
        <is>
          <t>Proposes new engineered-column ideas, constrained to 3 deterministic types; the PM accepts individually or all at once.</t>
        </is>
      </c>
    </row>
    <row r="14" ht="60" customHeight="1">
      <c r="A14" s="11" t="n">
        <v>13</v>
      </c>
      <c r="B14" s="12" t="inlineStr">
        <is>
          <t>3) Feature Engineering</t>
        </is>
      </c>
      <c r="C14" s="4" t="inlineStr">
        <is>
          <t>User-Requested Features (Custom feature added manually by the user)</t>
        </is>
      </c>
      <c r="D14" s="8" t="inlineStr">
        <is>
          <t>LLM Call</t>
        </is>
      </c>
      <c r="E14" s="4" t="inlineStr">
        <is>
          <t>Groq / OpenRouter, model openai/gpt-oss-120b</t>
        </is>
      </c>
      <c r="F14" s="4" t="inlineStr">
        <is>
          <t>One plain-language feature request typed by the user</t>
        </is>
      </c>
      <c r="G14" s="4" t="inlineStr">
        <is>
          <t>One feature draft (or an error if it references a non-existent column)</t>
        </is>
      </c>
      <c r="H14" s="4" t="inlineStr">
        <is>
          <t>Turns a specific manual ask into a computable spec -- this call is what 'Generate Feature Formula' further down the diagram actually is for this path.</t>
        </is>
      </c>
    </row>
    <row r="15" ht="136" customHeight="1">
      <c r="A15" s="11" t="n">
        <v>14</v>
      </c>
      <c r="B15" s="12" t="inlineStr">
        <is>
          <t>3) Feature Engineering</t>
        </is>
      </c>
      <c r="C15" s="4" t="inlineStr">
        <is>
          <t>Planner-Suggested Features (Suggested using user input and available columns)</t>
        </is>
      </c>
      <c r="D15" s="8" t="inlineStr">
        <is>
          <t>Carried over, then LLM Call per item</t>
        </is>
      </c>
      <c r="E15" s="4" t="inlineStr">
        <is>
          <t>orchestrator_agent's approved feature_definition drafts, resolved via feature_orchestrator.create_or_reuse_features → feature_request_agent.draft_feature_spec</t>
        </is>
      </c>
      <c r="F15" s="4" t="inlineStr">
        <is>
          <t>The Planner's already-approved feature_definition drafts (see Phase 1)</t>
        </is>
      </c>
      <c r="G15" s="4" t="inlineStr">
        <is>
          <t>Created (freshly drafted formula) or reused (matched an existing KPI Store entry) feature specs</t>
        </is>
      </c>
      <c r="H15" s="4" t="inlineStr">
        <is>
          <t>CORRECTED: this does NOT skip the LLM. Each Planner-suggested feature is checked against the KPI Store first (kpi_store.find_equivalent, deterministic) -- if no equivalent exists, the SAME 'Generate Feature Formula' LLM call (feature_request_agent.draft_feature_spec) used for 'User-Requested Features' drafts a fresh, computable formula for it. Only the Planner's own CLASSIFICATION (is this a feature? an analysis? both?) is carried over without a second LLM call -- the actual formula is not.</t>
        </is>
      </c>
    </row>
    <row r="16" ht="60" customHeight="1">
      <c r="A16" s="11" t="n">
        <v>15</v>
      </c>
      <c r="B16" s="12" t="inlineStr">
        <is>
          <t>3) Feature Engineering</t>
        </is>
      </c>
      <c r="C16" s="4" t="inlineStr">
        <is>
          <t>Feature Definitions Store (Central repository of reusable feature definitions)</t>
        </is>
      </c>
      <c r="D16" s="5" t="inlineStr">
        <is>
          <t>Deterministic</t>
        </is>
      </c>
      <c r="E16" s="4" t="inlineStr">
        <is>
          <t>Token-overlap coefficient matching across name+description vocabulary (kpi_store.find_equivalent), plus the uploaded/default profile store</t>
        </is>
      </c>
      <c r="F16" s="4" t="inlineStr">
        <is>
          <t>Every accepted feature spec from the 4 boxes above</t>
        </is>
      </c>
      <c r="G16" s="4" t="inlineStr">
        <is>
          <t>The combined, de-duplicated set of feature specs for this session; a durable registry entry for anything newly created</t>
        </is>
      </c>
      <c r="H16" s="4" t="inlineStr">
        <is>
          <t>Decides reuse-vs-create-new for every requirement without an LLM call, then persists any newly created formula for future sessions to reuse.</t>
        </is>
      </c>
    </row>
    <row r="17" ht="84" customHeight="1">
      <c r="A17" s="11" t="n">
        <v>16</v>
      </c>
      <c r="B17" s="12" t="inlineStr">
        <is>
          <t>3) Feature Engineering</t>
        </is>
      </c>
      <c r="C17" s="4" t="inlineStr">
        <is>
          <t>Generate Feature Formula (Defines the logic behind the feature)</t>
        </is>
      </c>
      <c r="D17" s="8" t="inlineStr">
        <is>
          <t>LLM Call (for 2 of the 3 feature-creation paths; skipped when an equivalent already exists in the KPI Store)</t>
        </is>
      </c>
      <c r="E17" s="4" t="inlineStr">
        <is>
          <t>Same calls as 'AI Suggests a Feature' / 'User-Requested Features'</t>
        </is>
      </c>
      <c r="F17" s="4" t="inlineStr">
        <is>
          <t>The request or column context</t>
        </is>
      </c>
      <c r="G17" s="4" t="inlineStr">
        <is>
          <t>One of 3 deterministic template types (lookup/ratio/duration/month), or an 'ai_generated' calculation_prompt if none fit</t>
        </is>
      </c>
      <c r="H17" s="4" t="inlineStr">
        <is>
          <t>This IS the same LLM call as the 'AI Suggests a Feature' box's own drafting AND the 'User-Requested Features' / 'Planner-Suggested Features' boxes above producing their spec -- not a separate call in the real pipeline. Skipped entirely when kpi_store.find_equivalent already finds a matching formula.</t>
        </is>
      </c>
    </row>
    <row r="18" ht="71" customHeight="1">
      <c r="A18" s="11" t="n">
        <v>17</v>
      </c>
      <c r="B18" s="12" t="inlineStr">
        <is>
          <t>3) Feature Engineering</t>
        </is>
      </c>
      <c r="C18" s="4" t="inlineStr">
        <is>
          <t>Write Feature Code (Converts the formula into runnable code)</t>
        </is>
      </c>
      <c r="D18" s="8" t="inlineStr">
        <is>
          <t>LLM Call -- ONLY for the ai_generated fallback</t>
        </is>
      </c>
      <c r="E18" s="4" t="inlineStr">
        <is>
          <t>Groq / OpenRouter, model openai/gpt-oss-120b</t>
        </is>
      </c>
      <c r="F18" s="4" t="inlineStr">
        <is>
          <t>A calculation_prompt (plain English) + column metadata</t>
        </is>
      </c>
      <c r="G18" s="4" t="inlineStr">
        <is>
          <t>A pandas code snippet (text)</t>
        </is>
      </c>
      <c r="H18" s="4" t="inlineStr">
        <is>
          <t>Most features (lookup/ratio/duration/month/custom-formula) NEVER reach this step -- they're evaluated directly by a deterministic template. This call only fires when a request doesn't fit any of those 5 templates.</t>
        </is>
      </c>
    </row>
    <row r="19" ht="60" customHeight="1">
      <c r="A19" s="11" t="n">
        <v>18</v>
      </c>
      <c r="B19" s="12" t="inlineStr">
        <is>
          <t>3) Feature Engineering</t>
        </is>
      </c>
      <c r="C19" s="4" t="inlineStr">
        <is>
          <t>Add Feature Column (Appends the new feature to the dataframe)</t>
        </is>
      </c>
      <c r="D19" s="5" t="inlineStr">
        <is>
          <t>Deterministic (sandboxed execution for AI-generated code)</t>
        </is>
      </c>
      <c r="E19" s="4" t="inlineStr">
        <is>
          <t>Direct template evaluation, or AST-validated restricted exec() for AI-generated code</t>
        </is>
      </c>
      <c r="F19" s="4" t="inlineStr">
        <is>
          <t>The resolved spec + the DataFrame</t>
        </is>
      </c>
      <c r="G19" s="4" t="inlineStr">
        <is>
          <t>DataFrame with the new column appended + computed stats/distribution</t>
        </is>
      </c>
      <c r="H19" s="4" t="inlineStr">
        <is>
          <t>Actually computes and appends the column. AI-generated code is validated against an allowlist and run in a restricted sandbox before its output is trusted.</t>
        </is>
      </c>
    </row>
    <row r="20" ht="60" customHeight="1">
      <c r="A20" s="13" t="n">
        <v>19</v>
      </c>
      <c r="B20" s="14" t="inlineStr">
        <is>
          <t>4) Analysis</t>
        </is>
      </c>
      <c r="C20" s="4" t="inlineStr">
        <is>
          <t>Predefined Analysis (Fixed, deterministic analysis applied by default)</t>
        </is>
      </c>
      <c r="D20" s="5" t="inlineStr">
        <is>
          <t>Deterministic</t>
        </is>
      </c>
      <c r="E20" s="4" t="inlineStr">
        <is>
          <t>pandas groupby + aggregation</t>
        </is>
      </c>
      <c r="F20" s="4" t="inlineStr">
        <is>
          <t>Session DataFrame + the uploaded/default Analysis Profile's pivot-spec JSON</t>
        </is>
      </c>
      <c r="G20" s="4" t="inlineStr">
        <is>
          <t>Computed pivot tables</t>
        </is>
      </c>
      <c r="H20" s="4" t="inlineStr">
        <is>
          <t>Computed directly with NO LLM decision at all -- unlike the diagram's arrow implying every analysis path flows through 'Chart Suggestion' first.</t>
        </is>
      </c>
    </row>
    <row r="21" ht="60" customHeight="1">
      <c r="A21" s="13" t="n">
        <v>20</v>
      </c>
      <c r="B21" s="14" t="inlineStr">
        <is>
          <t>4) Analysis</t>
        </is>
      </c>
      <c r="C21" s="4" t="inlineStr">
        <is>
          <t>AI Suggests an Analysis (AI surfaces every analysis the data could support)</t>
        </is>
      </c>
      <c r="D21" s="8" t="inlineStr">
        <is>
          <t>LLM Call</t>
        </is>
      </c>
      <c r="E21" s="4" t="inlineStr">
        <is>
          <t>Groq / OpenRouter, model openai/gpt-oss-120b</t>
        </is>
      </c>
      <c r="F21" s="4" t="inlineStr">
        <is>
          <t>Column metadata, including engineered columns</t>
        </is>
      </c>
      <c r="G21" s="4" t="inlineStr">
        <is>
          <t>Up to 5 pivot-table drafts (group_by, metrics, sort, top_n)</t>
        </is>
      </c>
      <c r="H21" s="4" t="inlineStr">
        <is>
          <t>This is the SAME underlying function as the 'Chart Suggestion' box later in the diagram (pivot_suggester.suggest_pivots) -- one function, shown as two boxes.</t>
        </is>
      </c>
    </row>
    <row r="22" ht="60" customHeight="1">
      <c r="A22" s="13" t="n">
        <v>21</v>
      </c>
      <c r="B22" s="14" t="inlineStr">
        <is>
          <t>4) Analysis</t>
        </is>
      </c>
      <c r="C22" s="4" t="inlineStr">
        <is>
          <t>User-Requested Analysis (Custom analysis added manually by the user)</t>
        </is>
      </c>
      <c r="D22" s="8" t="inlineStr">
        <is>
          <t>LLM Call</t>
        </is>
      </c>
      <c r="E22" s="4" t="inlineStr">
        <is>
          <t>Groq / OpenRouter, model openai/gpt-oss-120b</t>
        </is>
      </c>
      <c r="F22" s="4" t="inlineStr">
        <is>
          <t>One free-text question typed by the user</t>
        </is>
      </c>
      <c r="G22" s="4" t="inlineStr">
        <is>
          <t>A pivot, a small table, or a single value</t>
        </is>
      </c>
      <c r="H22" s="4" t="inlineStr">
        <is>
          <t>Runs the SAME 'AI Drafts a Formula/Spec' → 'Slot into Template' / 'Write Custom Python' pipeline shown further down the diagram, for a manually typed question.</t>
        </is>
      </c>
    </row>
    <row r="23" ht="60" customHeight="1">
      <c r="A23" s="13" t="n">
        <v>22</v>
      </c>
      <c r="B23" s="14" t="inlineStr">
        <is>
          <t>4) Analysis</t>
        </is>
      </c>
      <c r="C23" s="4" t="inlineStr">
        <is>
          <t>Planner-Suggested Analysis (Suggested using user input and available columns)</t>
        </is>
      </c>
      <c r="D23" s="8" t="inlineStr">
        <is>
          <t>Carried over, then LLM Call per item</t>
        </is>
      </c>
      <c r="E23" s="4" t="inlineStr">
        <is>
          <t>orchestrator_agent's approved drafts, resolved via analysis_orchestrator.resolve_analysis_requirements → formula_agent.answer_question</t>
        </is>
      </c>
      <c r="F23" s="4" t="inlineStr">
        <is>
          <t>The Planner's already-approved analysis_definition drafts (see Phase 1)</t>
        </is>
      </c>
      <c r="G23" s="4" t="inlineStr">
        <is>
          <t>Created or reused pivots</t>
        </is>
      </c>
      <c r="H23" s="4" t="inlineStr">
        <is>
          <t>Same Formula Agent pipeline as 'User-Requested Analysis', just triggered by the Planner's already-approved list instead of a typed question.</t>
        </is>
      </c>
    </row>
    <row r="24" ht="149" customHeight="1">
      <c r="A24" s="13" t="n">
        <v>23</v>
      </c>
      <c r="B24" s="14" t="inlineStr">
        <is>
          <t>4) Analysis</t>
        </is>
      </c>
      <c r="C24" s="4" t="inlineStr">
        <is>
          <t>Chart Suggestion (AI suggests a chart type; user can override)</t>
        </is>
      </c>
      <c r="D24" s="8" t="inlineStr">
        <is>
          <t>LLM Call</t>
        </is>
      </c>
      <c r="E24" s="4" t="inlineStr">
        <is>
          <t>Groq / OpenRouter, model openai/gpt-oss-120b (pivot_suggester.suggest_pivots)</t>
        </is>
      </c>
      <c r="F24" s="4" t="inlineStr">
        <is>
          <t>Column metadata, including engineered columns</t>
        </is>
      </c>
      <c r="G24" s="4" t="inlineStr">
        <is>
          <t>Up to 5 pivot-table drafts (group_by, metrics, sort_by, top_n) -- NO chart-type field</t>
        </is>
      </c>
      <c r="H24" s="4" t="inlineStr">
        <is>
          <t>GAP: pivot_suggester.py's actual schema has NO chart-type output at all (only group_by/metrics/sort/top_n) -- despite this box's diagram label, the Chart Suggestion agent does not decide a chart type today. The rendered chart type is chosen separately: the frontend auto-detects trend data → line vs. bar, or the PM manually toggles it. Separately, the Planner Agent's OWN analysis_definition.visualization field (bar/line/pie/ranking/scatter/trend -- see Phase 1) IS drafted per analysis, but is currently dropped and never reaches the frontend's chart-rendering logic.</t>
        </is>
      </c>
    </row>
    <row r="25" ht="60" customHeight="1">
      <c r="A25" s="13" t="n">
        <v>24</v>
      </c>
      <c r="B25" s="14" t="inlineStr">
        <is>
          <t>4) Analysis</t>
        </is>
      </c>
      <c r="C25" s="4" t="inlineStr">
        <is>
          <t>AI Drafts a Formula/Spec (Translates the ask into a computation)</t>
        </is>
      </c>
      <c r="D25" s="8" t="inlineStr">
        <is>
          <t>LLM Call</t>
        </is>
      </c>
      <c r="E25" s="4" t="inlineStr">
        <is>
          <t>Groq / OpenRouter, model openai/gpt-oss-120b</t>
        </is>
      </c>
      <c r="F25" s="4" t="inlineStr">
        <is>
          <t>The question (typed, or from the Planner) + column metadata</t>
        </is>
      </c>
      <c r="G25" s="4" t="inlineStr">
        <is>
          <t>{expressible: true/false, pivot spec}</t>
        </is>
      </c>
      <c r="H25" s="4" t="inlineStr">
        <is>
          <t>Tries to express the ask as a group-by/metric pivot spec first, before falling back to custom code.</t>
        </is>
      </c>
    </row>
    <row r="26" ht="60" customHeight="1">
      <c r="A26" s="13" t="n">
        <v>25</v>
      </c>
      <c r="B26" s="14" t="inlineStr">
        <is>
          <t>4) Analysis</t>
        </is>
      </c>
      <c r="C26" s="4" t="inlineStr">
        <is>
          <t>Slot into Template (Pre-approved Python routine)</t>
        </is>
      </c>
      <c r="D26" s="5" t="inlineStr">
        <is>
          <t>Deterministic</t>
        </is>
      </c>
      <c r="E26" s="4" t="inlineStr">
        <is>
          <t>pandas groupby + aggregation (pivot_engine.py)</t>
        </is>
      </c>
      <c r="F26" s="4" t="inlineStr">
        <is>
          <t>The validated spec from 'AI Drafts a Formula/Spec'</t>
        </is>
      </c>
      <c r="G26" s="4" t="inlineStr">
        <is>
          <t>Computed pivot result</t>
        </is>
      </c>
      <c r="H26" s="4" t="inlineStr">
        <is>
          <t>If the spec is expressible and valid, the real numbers are computed with the same deterministic engine as every other pivot -- no LLM arithmetic.</t>
        </is>
      </c>
    </row>
    <row r="27" ht="60" customHeight="1">
      <c r="A27" s="13" t="n">
        <v>26</v>
      </c>
      <c r="B27" s="14" t="inlineStr">
        <is>
          <t>4) Analysis</t>
        </is>
      </c>
      <c r="C27" s="4" t="inlineStr">
        <is>
          <t>Write Custom Python (For asks with no template)</t>
        </is>
      </c>
      <c r="D27" s="8" t="inlineStr">
        <is>
          <t>LLM Call (code) + Deterministic execution</t>
        </is>
      </c>
      <c r="E27" s="4" t="inlineStr">
        <is>
          <t>Groq/OpenRouter generates pandas code; AST-sandboxed exec() runs it</t>
        </is>
      </c>
      <c r="F27" s="4" t="inlineStr">
        <is>
          <t>The question + column metadata</t>
        </is>
      </c>
      <c r="G27" s="4" t="inlineStr">
        <is>
          <t>A small table, dict, or single computed value</t>
        </is>
      </c>
      <c r="H27" s="4" t="inlineStr">
        <is>
          <t>Only reached when the template path says the question can't be expressed as a pivot. The LLM writes the code; the sandbox executes it for the real answer.</t>
        </is>
      </c>
    </row>
    <row r="28" ht="60" customHeight="1">
      <c r="A28" s="13" t="n">
        <v>27</v>
      </c>
      <c r="B28" s="14" t="inlineStr">
        <is>
          <t>4) Analysis</t>
        </is>
      </c>
      <c r="C28" s="4" t="inlineStr">
        <is>
          <t>Validated Result (chart, table, or metric)</t>
        </is>
      </c>
      <c r="D28" s="5" t="inlineStr">
        <is>
          <t>Deterministic (the outcome of the two boxes above)</t>
        </is>
      </c>
      <c r="E28" s="4" t="inlineStr">
        <is>
          <t>n/a</t>
        </is>
      </c>
      <c r="F28" s="4" t="inlineStr">
        <is>
          <t>Computed pivot / table / value</t>
        </is>
      </c>
      <c r="G28" s="4" t="inlineStr">
        <is>
          <t>The same result, persisted to the session</t>
        </is>
      </c>
      <c r="H28" s="4" t="inlineStr">
        <is>
          <t>Not a separate processing step -- this is just the successful outcome of either 'Slot into Template' or 'Write Custom Python'.</t>
        </is>
      </c>
    </row>
    <row r="29" ht="60" customHeight="1">
      <c r="A29" s="13" t="n">
        <v>28</v>
      </c>
      <c r="B29" s="14" t="inlineStr">
        <is>
          <t>4) Analysis</t>
        </is>
      </c>
      <c r="C29" s="4" t="inlineStr">
        <is>
          <t>Analysis Store (Summaries, Interpretations &amp; Pivots)</t>
        </is>
      </c>
      <c r="D29" s="5" t="inlineStr">
        <is>
          <t>Deterministic</t>
        </is>
      </c>
      <c r="E29" s="4" t="inlineStr">
        <is>
          <t>In-memory, session-scoped log (analysis_store.py)</t>
        </is>
      </c>
      <c r="F29" s="4" t="inlineStr">
        <is>
          <t>Every formula answer, AI Summary, and chart interpretation generated this session</t>
        </is>
      </c>
      <c r="G29" s="4" t="inlineStr">
        <is>
          <t>A retrievable per-session history</t>
        </is>
      </c>
      <c r="H29" s="4" t="inlineStr">
        <is>
          <t>So a near-duplicate question later doesn't need to re-run either resolution path; also backs the Report page's own history.</t>
        </is>
      </c>
    </row>
    <row r="30" ht="60" customHeight="1">
      <c r="A30" s="13" t="n">
        <v>29</v>
      </c>
      <c r="B30" s="14" t="inlineStr">
        <is>
          <t>4) Analysis</t>
        </is>
      </c>
      <c r="C30" s="4" t="inlineStr">
        <is>
          <t>Chart Interpretation (Plain-language read of the chosen chart)</t>
        </is>
      </c>
      <c r="D30" s="8" t="inlineStr">
        <is>
          <t>LLM Call</t>
        </is>
      </c>
      <c r="E30" s="4" t="inlineStr">
        <is>
          <t>Groq / OpenRouter, model openai/gpt-oss-120b</t>
        </is>
      </c>
      <c r="F30" s="4" t="inlineStr">
        <is>
          <t>One pivot's own rows (group_by, metrics, up to 25 rows)</t>
        </is>
      </c>
      <c r="G30" s="4" t="inlineStr">
        <is>
          <t>1-2 sentence caption</t>
        </is>
      </c>
      <c r="H30" s="4" t="inlineStr">
        <is>
          <t>Calls out the standout row(s) -- highest/lowest/an outlier gap -- never inventing a number not already in the given rows.</t>
        </is>
      </c>
    </row>
    <row r="31" ht="60" customHeight="1">
      <c r="A31" s="13" t="n">
        <v>30</v>
      </c>
      <c r="B31" s="14" t="inlineStr">
        <is>
          <t>4) Analysis</t>
        </is>
      </c>
      <c r="C31" s="4" t="inlineStr">
        <is>
          <t>Drill-Down Suggestions (Where to look next, and why)</t>
        </is>
      </c>
      <c r="D31" s="8" t="inlineStr">
        <is>
          <t>LLM Call</t>
        </is>
      </c>
      <c r="E31" s="4" t="inlineStr">
        <is>
          <t>Groq / OpenRouter, model openai/gpt-oss-120b</t>
        </is>
      </c>
      <c r="F31" s="4" t="inlineStr">
        <is>
          <t>Row count + highlights + active pivots</t>
        </is>
      </c>
      <c r="G31" s="4" t="inlineStr">
        <is>
          <t>Up to 4 short next-step suggestions</t>
        </is>
      </c>
      <c r="H31" s="4" t="inlineStr">
        <is>
          <t>Points only at data slices already visible to it -- never a new column or value it hasn't seen.</t>
        </is>
      </c>
    </row>
    <row r="32" ht="71" customHeight="1">
      <c r="A32" s="15" t="n">
        <v>31</v>
      </c>
      <c r="B32" s="16" t="inlineStr">
        <is>
          <t>5) Report Generation</t>
        </is>
      </c>
      <c r="C32" s="4" t="inlineStr">
        <is>
          <t>Assemble Charts + Narrative (Step 1-3 output, combined)</t>
        </is>
      </c>
      <c r="D32" s="8" t="inlineStr">
        <is>
          <t>Deterministic rollup + 1 LLM Call</t>
        </is>
      </c>
      <c r="E32" s="4" t="inlineStr">
        <is>
          <t>Deterministic highlight rollup (overall_analysis.py) + Groq/OpenRouter executive narrative (overall_analysis_agent.py)</t>
        </is>
      </c>
      <c r="F32" s="4" t="inlineStr">
        <is>
          <t>Row count + every computed feature result + every computed pivot</t>
        </is>
      </c>
      <c r="G32" s="4" t="inlineStr">
        <is>
          <t>A highlights list (label/value) + a 2-4 sentence executive-summary paragraph</t>
        </is>
      </c>
      <c r="H32" s="4" t="inlineStr">
        <is>
          <t>The rollup itself is pure arithmetic (max/min/share-of-total, no LLM). The narrative sentence layered on top IS an LLM call -- the diagram doesn't break this out as its own 'AI Summary' box, but it's the same call.</t>
        </is>
      </c>
    </row>
    <row r="33" ht="60" customHeight="1">
      <c r="A33" s="15" t="n">
        <v>32</v>
      </c>
      <c r="B33" s="16" t="inlineStr">
        <is>
          <t>5) Report Generation</t>
        </is>
      </c>
      <c r="C33" s="4" t="inlineStr">
        <is>
          <t>Report Template Builder (Lays out sections &amp; slides)</t>
        </is>
      </c>
      <c r="D33" s="5" t="inlineStr">
        <is>
          <t>Deterministic</t>
        </is>
      </c>
      <c r="E33" s="4" t="inlineStr">
        <is>
          <t>Rule-driven slide layout (chosen by a pivot's group_by/metric shape); renders into a user-uploaded .pptx template's named layouts if one was uploaded, else the built-in layout</t>
        </is>
      </c>
      <c r="F33" s="4" t="inlineStr">
        <is>
          <t>The assembled highlights/narrative + every active pivot (with current filters)</t>
        </is>
      </c>
      <c r="G33" s="4" t="inlineStr">
        <is>
          <t>A slide-by-slide report plan (ReportSlide records)</t>
        </is>
      </c>
      <c r="H33" s="4" t="inlineStr">
        <is>
          <t>No LLM decides slide content -- every slide/heading/chart is 100% derived from the pivot's own shape and already-computed numbers.</t>
        </is>
      </c>
    </row>
    <row r="34" ht="60" customHeight="1">
      <c r="A34" s="15" t="n">
        <v>33</v>
      </c>
      <c r="B34" s="16" t="inlineStr">
        <is>
          <t>5) Report Generation</t>
        </is>
      </c>
      <c r="C34" s="4" t="inlineStr">
        <is>
          <t>Final Report (PPT / Doc / HTML, to the client)</t>
        </is>
      </c>
      <c r="D34" s="5" t="inlineStr">
        <is>
          <t>Deterministic</t>
        </is>
      </c>
      <c r="E34" s="4" t="inlineStr">
        <is>
          <t>python-pptx native chart rendering</t>
        </is>
      </c>
      <c r="F34" s="4" t="inlineStr">
        <is>
          <t>The report plan from 'Report Template Builder'</t>
        </is>
      </c>
      <c r="G34" s="4" t="inlineStr">
        <is>
          <t>A downloadable file with real native PowerPoint charts</t>
        </is>
      </c>
      <c r="H34" s="4" t="inlineStr">
        <is>
          <t>GAP vs. the diagram: the current implementation only produces .pptx. Doc/HTML export is not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90" customWidth="1" min="2" max="2"/>
  </cols>
  <sheetData>
    <row r="1" ht="20" customHeight="1">
      <c r="A1" s="26" t="inlineStr">
        <is>
          <t>Type</t>
        </is>
      </c>
      <c r="B1" s="26" t="inlineStr">
        <is>
          <t>Meaning</t>
        </is>
      </c>
    </row>
    <row r="2" ht="40" customHeight="1">
      <c r="A2" s="27" t="inlineStr">
        <is>
          <t>Statistical / Deterministic</t>
        </is>
      </c>
      <c r="B2" s="27" t="inlineStr">
        <is>
          <t>A fixed mathematical/statistical method (e.g. IQR fence, percentile threshold, groupby aggregation). Same input always gives the same output – no LLM involved.</t>
        </is>
      </c>
    </row>
    <row r="3" ht="40" customHeight="1">
      <c r="A3" s="27" t="inlineStr">
        <is>
          <t>Deterministic (rule-based, not ML)</t>
        </is>
      </c>
      <c r="B3" s="27" t="inlineStr">
        <is>
          <t>A fixed rule/weight table evaluated in Python – not a statistical test, not an LLM.</t>
        </is>
      </c>
    </row>
    <row r="4" ht="40" customHeight="1">
      <c r="A4" s="27" t="inlineStr">
        <is>
          <t>Carried over -- no separate LLM call</t>
        </is>
      </c>
      <c r="B4" s="27" t="inlineStr">
        <is>
          <t>The Planner Agent's already-approved output from Phase 1, submitted downstream as a decided requirement – not re-suggested.</t>
        </is>
      </c>
    </row>
    <row r="5" ht="40" customHeight="1">
      <c r="A5" s="27" t="inlineStr">
        <is>
          <t>Deterministic (sandboxed execution)</t>
        </is>
      </c>
      <c r="B5" s="27" t="inlineStr">
        <is>
          <t>Runs LLM-generated code, but the execution itself is deterministic and restricted (AST-validated, limited builtins).</t>
        </is>
      </c>
    </row>
    <row r="6" ht="40" customHeight="1">
      <c r="A6" s="27" t="inlineStr">
        <is>
          <t>LLM Call</t>
        </is>
      </c>
      <c r="B6" s="27" t="inlineStr">
        <is>
          <t>A real call to the Groq or OpenRouter API (model: openai/gpt-oss-120b). Only ever explains, classifies, drafts wording, or decides WHICH columns/logic to use – the actual numbers are always computed by a deterministic step, never by the LLM itself.</t>
        </is>
      </c>
    </row>
    <row r="7" ht="40" customHeight="1">
      <c r="A7" s="27" t="inlineStr">
        <is>
          <t>External API (not an LLM)</t>
        </is>
      </c>
      <c r="B7" s="27" t="inlineStr">
        <is>
          <t>DeepL's translation API – a non-LLM, purpose-built translation service.</t>
        </is>
      </c>
    </row>
    <row r="8" ht="40" customHeight="1">
      <c r="A8" s="27" t="inlineStr">
        <is>
          <t>Human decision (not automated)</t>
        </is>
      </c>
      <c r="B8" s="27" t="inlineStr">
        <is>
          <t>A manual choice made by the PM in the UI – not a statistical method, not an LLM call.</t>
        </is>
      </c>
    </row>
    <row r="10" ht="50" customHeight="1">
      <c r="A10" s="19" t="inlineStr">
        <is>
          <t>Key architectural rule used throughout this app: every LLM call only decides WHAT to compute, WHICH columns to use, or HOW to word something – the actual arithmetic (audits, features, pivots, formula answers) always runs deterministically in pandas over the full dataset.</t>
        </is>
      </c>
    </row>
  </sheetData>
  <mergeCells count="1">
    <mergeCell ref="A10:B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pane ySplit="2" topLeftCell="A3" activePane="bottomLeft" state="frozen"/>
      <selection pane="bottomLeft" activeCell="A1" sqref="A1"/>
    </sheetView>
  </sheetViews>
  <sheetFormatPr baseColWidth="8" defaultRowHeight="15"/>
  <cols>
    <col width="22" customWidth="1" min="1" max="1"/>
    <col width="100" customWidth="1" min="2" max="2"/>
  </cols>
  <sheetData>
    <row r="1" ht="26" customHeight="1">
      <c r="A1" s="20" t="inlineStr">
        <is>
          <t>Agents – every distinct LLM-powered agent module, and everything that comes with it</t>
        </is>
      </c>
    </row>
    <row r="2" ht="34" customHeight="1">
      <c r="A2" s="19" t="inlineStr">
        <is>
          <t>An 'agent' here = a distinct system prompt + role, not just any function that happens to call an LLM. Orchestration code that only decides reuse-vs-create or dedupes results (feature_orchestrator.py, analysis_orchestrator.py's resolver) is not its own agent -- it calls the agents below.</t>
        </is>
      </c>
    </row>
    <row r="4" ht="36" customHeight="1">
      <c r="A4" s="31" t="inlineStr">
        <is>
          <t>1. Planner Agent   (orchestrator_agent.py)</t>
        </is>
      </c>
    </row>
    <row r="5" ht="20.5" customHeight="1">
      <c r="A5" s="23" t="inlineStr">
        <is>
          <t>Powers (diagram box)</t>
        </is>
      </c>
      <c r="B5" s="25" t="inlineStr">
        <is>
          <t>Recommendation phase</t>
        </is>
      </c>
    </row>
    <row r="6" ht="49.5" customHeight="1">
      <c r="A6" s="23" t="inlineStr">
        <is>
          <t>Purpose</t>
        </is>
      </c>
      <c r="B6" s="25" t="inlineStr">
        <is>
          <t>Reads the (translated) client brief plus a catalog of what already exists, and classifies every distinct ask as a feature, an analysis, both, or a configuration -- drafting a full definition, confidence score, and validation for the user to review.</t>
        </is>
      </c>
    </row>
    <row r="7" ht="20.5" customHeight="1">
      <c r="A7" s="23" t="inlineStr">
        <is>
          <t>Prompts it owns</t>
        </is>
      </c>
      <c r="B7" s="25" t="inlineStr">
        <is>
          <t>1 prompt: PLANNER_SYSTEM_PROMPT</t>
        </is>
      </c>
    </row>
    <row r="8" ht="35" customHeight="1">
      <c r="A8" s="23" t="inlineStr">
        <is>
          <t>Tools / dependencies</t>
        </is>
      </c>
      <c r="B8" s="25" t="inlineStr">
        <is>
          <t>Reads from: feature_definitions_store, pivot_definitions_store, kpi_store (all deterministic lookups, no LLM) to build its 'what already exists' catalog. Upstream of it: DeepL translation (not itself an LLM).</t>
        </is>
      </c>
    </row>
    <row r="9" ht="49.5" customHeight="1">
      <c r="A9" s="23" t="inlineStr">
        <is>
          <t>Guardrails</t>
        </is>
      </c>
      <c r="B9" s="32" t="inlineStr">
        <is>
          <t>Existing-vs-new judged only against the given catalog; defaults to the safer 'feature_and_analysis' guess when unsure; produces nothing on its own -- every recommendation needs human approve/reject/edit before anything downstream is created.</t>
        </is>
      </c>
    </row>
    <row r="11" ht="36" customHeight="1">
      <c r="A11" s="31" t="inlineStr">
        <is>
          <t>2. Data Audit Agent   (audit_agent.py)</t>
        </is>
      </c>
    </row>
    <row r="12" ht="20.5" customHeight="1">
      <c r="A12" s="23" t="inlineStr">
        <is>
          <t>Powers (diagram box)</t>
        </is>
      </c>
      <c r="B12" s="25" t="inlineStr">
        <is>
          <t>Outlier Screening phase (Summary generation)</t>
        </is>
      </c>
    </row>
    <row r="13" ht="35" customHeight="1">
      <c r="A13" s="23" t="inlineStr">
        <is>
          <t>Purpose</t>
        </is>
      </c>
      <c r="B13" s="25" t="inlineStr">
        <is>
          <t>Turns the deterministic audit findings (already computed by data_audit.py) into a plain-English verdict and a recommended action per finding.</t>
        </is>
      </c>
    </row>
    <row r="14" ht="20.5" customHeight="1">
      <c r="A14" s="23" t="inlineStr">
        <is>
          <t>Prompts it owns</t>
        </is>
      </c>
      <c r="B14" s="25" t="inlineStr">
        <is>
          <t>1 prompt: SYSTEM_PROMPT</t>
        </is>
      </c>
    </row>
    <row r="15" ht="20.5" customHeight="1">
      <c r="A15" s="23" t="inlineStr">
        <is>
          <t>Tools / dependencies</t>
        </is>
      </c>
      <c r="B15" s="25" t="inlineStr">
        <is>
          <t>Reads from: data_audit.run_audit's output only -- never re-examines the raw data itself.</t>
        </is>
      </c>
    </row>
    <row r="16" ht="49.5" customHeight="1">
      <c r="A16" s="23" t="inlineStr">
        <is>
          <t>Guardrails</t>
        </is>
      </c>
      <c r="B16" s="32" t="inlineStr">
        <is>
          <t>Cannot invent a finding or contradict a given number; category-specific default advice is written into the prompt itself; no fallback -- unavailable Groq/OpenRouter fails the whole audit request loudly rather than returning a blank summary.</t>
        </is>
      </c>
    </row>
    <row r="18" ht="36" customHeight="1">
      <c r="A18" s="31" t="inlineStr">
        <is>
          <t>3. Feature Suggestion Agent   (feature_suggester.py)</t>
        </is>
      </c>
    </row>
    <row r="19" ht="20.5" customHeight="1">
      <c r="A19" s="23" t="inlineStr">
        <is>
          <t>Powers (diagram box)</t>
        </is>
      </c>
      <c r="B19" s="25" t="inlineStr">
        <is>
          <t>Feature Engineering phase (AI Suggests a Feature)</t>
        </is>
      </c>
    </row>
    <row r="20" ht="20.5" customHeight="1">
      <c r="A20" s="23" t="inlineStr">
        <is>
          <t>Purpose</t>
        </is>
      </c>
      <c r="B20" s="25" t="inlineStr">
        <is>
          <t>Proposes up to 5 new engineered-feature ideas the user didn't explicitly ask for.</t>
        </is>
      </c>
    </row>
    <row r="21" ht="20.5" customHeight="1">
      <c r="A21" s="23" t="inlineStr">
        <is>
          <t>Prompts it owns</t>
        </is>
      </c>
      <c r="B21" s="25" t="inlineStr">
        <is>
          <t>1 prompt: SYSTEM_PROMPT</t>
        </is>
      </c>
    </row>
    <row r="22" ht="20.5" customHeight="1">
      <c r="A22" s="23" t="inlineStr">
        <is>
          <t>Tools / dependencies</t>
        </is>
      </c>
      <c r="B22" s="25" t="inlineStr">
        <is>
          <t>Downstream of it: feature_engineering.py's 3 deterministic templates actually compute whatever it proposes.</t>
        </is>
      </c>
    </row>
    <row r="23" ht="35" customHeight="1">
      <c r="A23" s="23" t="inlineStr">
        <is>
          <t>Guardrails</t>
        </is>
      </c>
      <c r="B23" s="32" t="inlineStr">
        <is>
          <t>Constrained to exactly 3 computable types; must reference only real columns; any suggestion naming a column that doesn't exist is dropped before the user ever sees it.</t>
        </is>
      </c>
    </row>
    <row r="25" ht="36" customHeight="1">
      <c r="A25" s="31" t="inlineStr">
        <is>
          <t>4. Feature Request Agent   (feature_request_agent.py)</t>
        </is>
      </c>
    </row>
    <row r="26" ht="20.5" customHeight="1">
      <c r="A26" s="23" t="inlineStr">
        <is>
          <t>Powers (diagram box)</t>
        </is>
      </c>
      <c r="B26" s="25" t="inlineStr">
        <is>
          <t>Feature Engineering phase (User-Requested Features)</t>
        </is>
      </c>
    </row>
    <row r="27" ht="20.5" customHeight="1">
      <c r="A27" s="23" t="inlineStr">
        <is>
          <t>Purpose</t>
        </is>
      </c>
      <c r="B27" s="25" t="inlineStr">
        <is>
          <t>Turns ONE specific free-text feature ask into a computable spec.</t>
        </is>
      </c>
    </row>
    <row r="28" ht="20.5" customHeight="1">
      <c r="A28" s="23" t="inlineStr">
        <is>
          <t>Prompts it owns</t>
        </is>
      </c>
      <c r="B28" s="25" t="inlineStr">
        <is>
          <t>1 prompt: SYSTEM_PROMPT</t>
        </is>
      </c>
    </row>
    <row r="29" ht="35" customHeight="1">
      <c r="A29" s="23" t="inlineStr">
        <is>
          <t>Tools / dependencies</t>
        </is>
      </c>
      <c r="B29" s="25" t="inlineStr">
        <is>
          <t>Tries the same 3 deterministic types first; hands off to the AI Feature Code Generator (below) only when none of those genuinely fit.</t>
        </is>
      </c>
    </row>
    <row r="30" ht="35" customHeight="1">
      <c r="A30" s="23" t="inlineStr">
        <is>
          <t>Guardrails</t>
        </is>
      </c>
      <c r="B30" s="32" t="inlineStr">
        <is>
          <t>Raises an error (never silently guesses) if its draft references a column that isn't in the current data -- same real-column check as the Feature Suggestion Agent.</t>
        </is>
      </c>
    </row>
    <row r="32" ht="36" customHeight="1">
      <c r="A32" s="31" t="inlineStr">
        <is>
          <t>5. AI Feature Code Generator   (ai_feature_generator.py)</t>
        </is>
      </c>
    </row>
    <row r="33" ht="20.5" customHeight="1">
      <c r="A33" s="23" t="inlineStr">
        <is>
          <t>Powers (diagram box)</t>
        </is>
      </c>
      <c r="B33" s="25" t="inlineStr">
        <is>
          <t>Feature Engineering phase (Write Feature Code)</t>
        </is>
      </c>
    </row>
    <row r="34" ht="20.5" customHeight="1">
      <c r="A34" s="23" t="inlineStr">
        <is>
          <t>Purpose</t>
        </is>
      </c>
      <c r="B34" s="25" t="inlineStr">
        <is>
          <t>Writes a short pandas snippet for a feature calculation that doesn't fit any of the 5 deterministic templates.</t>
        </is>
      </c>
    </row>
    <row r="35" ht="20.5" customHeight="1">
      <c r="A35" s="23" t="inlineStr">
        <is>
          <t>Prompts it owns</t>
        </is>
      </c>
      <c r="B35" s="25" t="inlineStr">
        <is>
          <t>1 prompt: SYSTEM_PROMPT</t>
        </is>
      </c>
    </row>
    <row r="36" ht="35" customHeight="1">
      <c r="A36" s="23" t="inlineStr">
        <is>
          <t>Tools / dependencies</t>
        </is>
      </c>
      <c r="B36" s="25" t="inlineStr">
        <is>
          <t>Hands its output to ai_code_executor.py's sandbox for actual execution -- it never runs the code itself, and its output is never trusted at face value.</t>
        </is>
      </c>
    </row>
    <row r="37" ht="35" customHeight="1">
      <c r="A37" s="23" t="inlineStr">
        <is>
          <t>Guardrails</t>
        </is>
      </c>
      <c r="B37" s="32" t="inlineStr">
        <is>
          <t>Prompt forbids imports/loops/function defs/file I/O/eval/exec/open; independently re-checked by an AST allowlist and restricted builtins at execution time, regardless of what the prompt asked for.</t>
        </is>
      </c>
    </row>
    <row r="39" ht="36" customHeight="1">
      <c r="A39" s="31" t="inlineStr">
        <is>
          <t>6. Chart/Pivot Suggestion Agent   (pivot_suggester.py)</t>
        </is>
      </c>
    </row>
    <row r="40" ht="20.5" customHeight="1">
      <c r="A40" s="23" t="inlineStr">
        <is>
          <t>Powers (diagram box)</t>
        </is>
      </c>
      <c r="B40" s="25" t="inlineStr">
        <is>
          <t>Analysis phase (AI Suggests an Analysis / Chart Suggestion)</t>
        </is>
      </c>
    </row>
    <row r="41" ht="20.5" customHeight="1">
      <c r="A41" s="23" t="inlineStr">
        <is>
          <t>Purpose</t>
        </is>
      </c>
      <c r="B41" s="25" t="inlineStr">
        <is>
          <t>Proposes up to 5 new pivot-table ideas from the current columns (including engineered ones).</t>
        </is>
      </c>
    </row>
    <row r="42" ht="20.5" customHeight="1">
      <c r="A42" s="23" t="inlineStr">
        <is>
          <t>Prompts it owns</t>
        </is>
      </c>
      <c r="B42" s="25" t="inlineStr">
        <is>
          <t>1 prompt: SYSTEM_PROMPT</t>
        </is>
      </c>
    </row>
    <row r="43" ht="20.5" customHeight="1">
      <c r="A43" s="23" t="inlineStr">
        <is>
          <t>Tools / dependencies</t>
        </is>
      </c>
      <c r="B43" s="25" t="inlineStr">
        <is>
          <t>Downstream of it: pivot_engine.py's deterministic groupby engine actually computes whatever it proposes.</t>
        </is>
      </c>
    </row>
    <row r="44" ht="35" customHeight="1">
      <c r="A44" s="23" t="inlineStr">
        <is>
          <t>Guardrails</t>
        </is>
      </c>
      <c r="B44" s="32" t="inlineStr">
        <is>
          <t>Aggregation type constrained to an explicit allowlist; must reference only real columns; hallucinated column references are dropped silently rather than surfaced as broken suggestions.</t>
        </is>
      </c>
    </row>
    <row r="46" ht="36" customHeight="1">
      <c r="A46" s="31" t="inlineStr">
        <is>
          <t>7. Formula Agent   (formula_agent.py)</t>
        </is>
      </c>
    </row>
    <row r="47" ht="20.5" customHeight="1">
      <c r="A47" s="23" t="inlineStr">
        <is>
          <t>Powers (diagram box)</t>
        </is>
      </c>
      <c r="B47" s="25" t="inlineStr">
        <is>
          <t>Analysis phase (AI Drafts a Formula/Spec, Slot into Template, Write Custom Python)</t>
        </is>
      </c>
    </row>
    <row r="48" ht="35" customHeight="1">
      <c r="A48" s="23" t="inlineStr">
        <is>
          <t>Purpose</t>
        </is>
      </c>
      <c r="B48" s="25" t="inlineStr">
        <is>
          <t>Answers ONE free-text analysis question. Tries to express it as a pivot-table spec first; only writes custom Python if the question genuinely doesn't fit that shape.</t>
        </is>
      </c>
    </row>
    <row r="49" ht="20.5" customHeight="1">
      <c r="A49" s="23" t="inlineStr">
        <is>
          <t>Prompts it owns</t>
        </is>
      </c>
      <c r="B49" s="25" t="inlineStr">
        <is>
          <t>2 prompts: TEMPLATE_SYSTEM_PROMPT, CUSTOM_SYSTEM_PROMPT</t>
        </is>
      </c>
    </row>
    <row r="50" ht="35" customHeight="1">
      <c r="A50" s="23" t="inlineStr">
        <is>
          <t>Tools / dependencies</t>
        </is>
      </c>
      <c r="B50" s="25" t="inlineStr">
        <is>
          <t>Template path computes through pivot_engine.py (deterministic, no LLM arithmetic). Custom path executes through ai_code_executor.py's same AST sandbox as feature code generation. Both paths log to analysis_store.py.</t>
        </is>
      </c>
    </row>
    <row r="51" ht="49.5" customHeight="1">
      <c r="A51" s="23" t="inlineStr">
        <is>
          <t>Guardrails</t>
        </is>
      </c>
      <c r="B51" s="32" t="inlineStr">
        <is>
          <t>Template spec validated against real columns + allowed aggregations before being trusted; if it fails or is declined, falls through to the sandboxed custom-code path; raises a clean error (never a raw traceback) if neither path can answer.</t>
        </is>
      </c>
    </row>
    <row r="53" ht="36" customHeight="1">
      <c r="A53" s="31" t="inlineStr">
        <is>
          <t>8. Overall Analysis Agent   (overall_analysis_agent.py)</t>
        </is>
      </c>
    </row>
    <row r="54" ht="20.5" customHeight="1">
      <c r="A54" s="23" t="inlineStr">
        <is>
          <t>Powers (diagram box)</t>
        </is>
      </c>
      <c r="B54" s="25" t="inlineStr">
        <is>
          <t>Report Generation phase (AI Summary half of Assemble Charts + Narrative)</t>
        </is>
      </c>
    </row>
    <row r="55" ht="20.5" customHeight="1">
      <c r="A55" s="23" t="inlineStr">
        <is>
          <t>Purpose</t>
        </is>
      </c>
      <c r="B55" s="25" t="inlineStr">
        <is>
          <t>Turns the already-computed highlights (overall_analysis.py) into a 2-4 sentence executive narrative.</t>
        </is>
      </c>
    </row>
    <row r="56" ht="20.5" customHeight="1">
      <c r="A56" s="23" t="inlineStr">
        <is>
          <t>Prompts it owns</t>
        </is>
      </c>
      <c r="B56" s="25" t="inlineStr">
        <is>
          <t>1 prompt: SYSTEM_PROMPT</t>
        </is>
      </c>
    </row>
    <row r="57" ht="20.5" customHeight="1">
      <c r="A57" s="23" t="inlineStr">
        <is>
          <t>Tools / dependencies</t>
        </is>
      </c>
      <c r="B57" s="25" t="inlineStr">
        <is>
          <t>Reads from: overall_analysis.build_highlights's output only -- a purely deterministic rollup, no LLM.</t>
        </is>
      </c>
    </row>
    <row r="58" ht="35" customHeight="1">
      <c r="A58" s="23" t="inlineStr">
        <is>
          <t>Guardrails</t>
        </is>
      </c>
      <c r="B58" s="32" t="inlineStr">
        <is>
          <t>Explicitly forbidden from inventing a number, name, or trend not already in the given highlights; no fallback -- an unavailable Groq/OpenRouter fails loudly rather than showing a blank or guessed summary.</t>
        </is>
      </c>
    </row>
    <row r="60" ht="36" customHeight="1">
      <c r="A60" s="31" t="inlineStr">
        <is>
          <t>9. Chart Interpretation Agent   (chart_interpretation_agent.py)</t>
        </is>
      </c>
    </row>
    <row r="61" ht="20.5" customHeight="1">
      <c r="A61" s="23" t="inlineStr">
        <is>
          <t>Powers (diagram box)</t>
        </is>
      </c>
      <c r="B61" s="25" t="inlineStr">
        <is>
          <t>Analysis phase (Chart Interpretation)</t>
        </is>
      </c>
    </row>
    <row r="62" ht="20.5" customHeight="1">
      <c r="A62" s="23" t="inlineStr">
        <is>
          <t>Purpose</t>
        </is>
      </c>
      <c r="B62" s="25" t="inlineStr">
        <is>
          <t>Writes a 1-2 sentence caption for one already-computed chart.</t>
        </is>
      </c>
    </row>
    <row r="63" ht="20.5" customHeight="1">
      <c r="A63" s="23" t="inlineStr">
        <is>
          <t>Prompts it owns</t>
        </is>
      </c>
      <c r="B63" s="25" t="inlineStr">
        <is>
          <t>1 prompt: SYSTEM_PROMPT</t>
        </is>
      </c>
    </row>
    <row r="64" ht="20.5" customHeight="1">
      <c r="A64" s="23" t="inlineStr">
        <is>
          <t>Tools / dependencies</t>
        </is>
      </c>
      <c r="B64" s="25" t="inlineStr">
        <is>
          <t>Shown only that one pivot's own rows (up to 25) -- nothing else.</t>
        </is>
      </c>
    </row>
    <row r="65" ht="35" customHeight="1">
      <c r="A65" s="23" t="inlineStr">
        <is>
          <t>Guardrails</t>
        </is>
      </c>
      <c r="B65" s="32" t="inlineStr">
        <is>
          <t>Same never-invent-a-number rule as the Overall Analysis Agent; structurally cannot reference any other chart's data since it's never shown any.</t>
        </is>
      </c>
    </row>
    <row r="67" ht="36" customHeight="1">
      <c r="A67" s="31" t="inlineStr">
        <is>
          <t>10. Drill-Down Agent   (drill_down_agent.py)</t>
        </is>
      </c>
    </row>
    <row r="68" ht="20.5" customHeight="1">
      <c r="A68" s="23" t="inlineStr">
        <is>
          <t>Powers (diagram box)</t>
        </is>
      </c>
      <c r="B68" s="25" t="inlineStr">
        <is>
          <t>Analysis phase (Drill-Down Suggestions)</t>
        </is>
      </c>
    </row>
    <row r="69" ht="20.5" customHeight="1">
      <c r="A69" s="23" t="inlineStr">
        <is>
          <t>Purpose</t>
        </is>
      </c>
      <c r="B69" s="25" t="inlineStr">
        <is>
          <t>Suggests up to 4 concrete 'look at this next' next steps.</t>
        </is>
      </c>
    </row>
    <row r="70" ht="20.5" customHeight="1">
      <c r="A70" s="23" t="inlineStr">
        <is>
          <t>Prompts it owns</t>
        </is>
      </c>
      <c r="B70" s="25" t="inlineStr">
        <is>
          <t>1 prompt: SYSTEM_PROMPT</t>
        </is>
      </c>
    </row>
    <row r="71" ht="20.5" customHeight="1">
      <c r="A71" s="23" t="inlineStr">
        <is>
          <t>Tools / dependencies</t>
        </is>
      </c>
      <c r="B71" s="25" t="inlineStr">
        <is>
          <t>Reads from: the same highlights + active pivots already computed for this session -- no new data access.</t>
        </is>
      </c>
    </row>
    <row r="72" ht="35" customHeight="1">
      <c r="A72" s="23" t="inlineStr">
        <is>
          <t>Guardrails</t>
        </is>
      </c>
      <c r="B72" s="32" t="inlineStr">
        <is>
          <t>Every suggestion must point at a slice already visible in what it was given -- never allowed to propose investigating a column or value it hasn't seen.</t>
        </is>
      </c>
    </row>
    <row r="74" ht="36" customHeight="1">
      <c r="A74" s="31" t="inlineStr">
        <is>
          <t>11. (legacy, not in diagram) Analysis Requirement Extractor   (analysis_orchestrator.py)</t>
        </is>
      </c>
    </row>
    <row r="75" ht="20.5" customHeight="1">
      <c r="A75" s="23" t="inlineStr">
        <is>
          <t>Powers (diagram box)</t>
        </is>
      </c>
      <c r="B75" s="25" t="inlineStr">
        <is>
          <t>Analysis phase, self-extraction fallback only</t>
        </is>
      </c>
    </row>
    <row r="76" ht="20.5" customHeight="1">
      <c r="A76" s="23" t="inlineStr">
        <is>
          <t>Purpose</t>
        </is>
      </c>
      <c r="B76" s="25" t="inlineStr">
        <is>
          <t>Reads a brief directly and extracts distinct 'show me X' asks, WITHOUT the Planner Agent having run first.</t>
        </is>
      </c>
    </row>
    <row r="77" ht="20.5" customHeight="1">
      <c r="A77" s="23" t="inlineStr">
        <is>
          <t>Prompts it owns</t>
        </is>
      </c>
      <c r="B77" s="25" t="inlineStr">
        <is>
          <t>1 prompt: ANALYSIS_BRIEF_SYSTEM_PROMPT</t>
        </is>
      </c>
    </row>
    <row r="78" ht="35" customHeight="1">
      <c r="A78" s="23" t="inlineStr">
        <is>
          <t>Tools / dependencies</t>
        </is>
      </c>
      <c r="B78" s="25" t="inlineStr">
        <is>
          <t>Superseded by the Planner Agent flow -- only reached if a brief is submitted through the old self-extraction path instead of the Recommendation page.</t>
        </is>
      </c>
    </row>
    <row r="79" ht="20.5" customHeight="1">
      <c r="A79" s="23" t="inlineStr">
        <is>
          <t>Guardrails</t>
        </is>
      </c>
      <c r="B79" s="32" t="inlineStr">
        <is>
          <t>Must return an empty list rather than invent an analysis if the brief doesn't actually ask to see one.</t>
        </is>
      </c>
    </row>
  </sheetData>
  <mergeCells count="13">
    <mergeCell ref="A4:B4"/>
    <mergeCell ref="A2:B2"/>
    <mergeCell ref="A25:B25"/>
    <mergeCell ref="A60:B60"/>
    <mergeCell ref="A11:B11"/>
    <mergeCell ref="A46:B46"/>
    <mergeCell ref="A32:B32"/>
    <mergeCell ref="A53:B53"/>
    <mergeCell ref="A1:B1"/>
    <mergeCell ref="A74:B74"/>
    <mergeCell ref="A18:B18"/>
    <mergeCell ref="A67:B67"/>
    <mergeCell ref="A39:B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34" customWidth="1" min="1" max="1"/>
    <col width="110" customWidth="1" min="2" max="2"/>
  </cols>
  <sheetData>
    <row r="1" ht="26" customHeight="1">
      <c r="A1" s="28" t="inlineStr">
        <is>
          <t>Where this differs from the reference diagram (verified against source code)</t>
        </is>
      </c>
    </row>
    <row r="2" ht="18" customHeight="1">
      <c r="A2" s="29" t="inlineStr">
        <is>
          <t>Topic</t>
        </is>
      </c>
      <c r="B2" s="29" t="inlineStr">
        <is>
          <t>Detail</t>
        </is>
      </c>
    </row>
    <row r="3" ht="71" customHeight="1">
      <c r="A3" s="30" t="inlineStr">
        <is>
          <t>Outlier Screening order</t>
        </is>
      </c>
      <c r="B3" s="25" t="inlineStr">
        <is>
          <t>The diagram's arrows show checks → HITL → Summary generation. The real code runs the AI Summary/recommendation call FIRST (at upload time, in the same request that runs the checks), and HITL happens afterward -- the PM is reviewing an AI-pre-filled recommendation per finding, not triggering the AI's summary with their own decisions. (Verified in backend/app/routers/audit.py's /upload and /resolve endpoints.)</t>
        </is>
      </c>
    </row>
    <row r="4" ht="45" customHeight="1">
      <c r="A4" s="30" t="inlineStr">
        <is>
          <t>Root-Cause Hypothesis Scoring</t>
        </is>
      </c>
      <c r="B4" s="25" t="inlineStr">
        <is>
          <t>A real, working feature (anomaly_detection.generate_rca) that scores 6 root-cause hypotheses per flagged trip -- it isn't drawn anywhere in this diagram. Sits logically between the 3 outlier-screening boxes and HITL.</t>
        </is>
      </c>
    </row>
    <row r="5" ht="45" customHeight="1">
      <c r="A5" s="30" t="inlineStr">
        <is>
          <t>'Chart Suggestion' appears twice</t>
        </is>
      </c>
      <c r="B5" s="25" t="inlineStr">
        <is>
          <t>'AI Suggests an Analysis' (the 4-way input row) and 'Chart Suggestion' (the hub feeding Chart Interpretation/Drill-Down) are the exact same function in code (pivot_suggester.suggest_pivots) -- one LLM call, not two.</t>
        </is>
      </c>
    </row>
    <row r="6" ht="45" customHeight="1">
      <c r="A6" s="30" t="inlineStr">
        <is>
          <t>Predefined Analysis doesn't touch Chart Suggestion</t>
        </is>
      </c>
      <c r="B6" s="25" t="inlineStr">
        <is>
          <t>The diagram's converging arrows imply every analysis path (including Predefined) flows through Chart Suggestion → AI Drafts a Formula/Spec. In the real code, Predefined (Analysis Profile) pivots are computed directly by the deterministic pivot engine and never involve an LLM call at all.</t>
        </is>
      </c>
    </row>
    <row r="7" ht="45" customHeight="1">
      <c r="A7" s="30" t="inlineStr">
        <is>
          <t>Planner-Suggested boxes aren't a second LLM call</t>
        </is>
      </c>
      <c r="B7" s="25" t="inlineStr">
        <is>
          <t>Both 'Planner-Suggested Features' and 'Planner-Suggested Analysis' are the Planner Agent's ALREADY-APPROVED output from Phase 1 being submitted downstream, not a fresh suggestion generated at that point in the pipeline.</t>
        </is>
      </c>
    </row>
    <row r="8" ht="45" customHeight="1">
      <c r="A8" s="30" t="inlineStr">
        <is>
          <t>'Write Feature Code' is a narrow fallback, not a universal step</t>
        </is>
      </c>
      <c r="B8" s="25" t="inlineStr">
        <is>
          <t>5 of 6 feature calculation types (lookup, ratio, duration, month-extraction, custom-formula) are evaluated by a deterministic template and never generate code via an LLM at all. Only the 'ai_generated' fallback (when nothing else fits) reaches this step.</t>
        </is>
      </c>
    </row>
    <row r="9" ht="45" customHeight="1">
      <c r="A9" s="30" t="inlineStr">
        <is>
          <t>'Assemble Charts + Narrative' bundles one LLM call</t>
        </is>
      </c>
      <c r="B9" s="25" t="inlineStr">
        <is>
          <t>The highlight rollup itself is pure deterministic arithmetic, but the narrative sentence generated on top of it (the 'AI Summary') is a real LLM call -- the diagram doesn't show it as a separate labeled box the way Chart Interpretation and Drill-Down are.</t>
        </is>
      </c>
    </row>
    <row r="10" ht="45" customHeight="1">
      <c r="A10" s="30" t="inlineStr">
        <is>
          <t>Final Report format</t>
        </is>
      </c>
      <c r="B10" s="25" t="inlineStr">
        <is>
          <t>The diagram's final box says 'PPT / Doc / HTML' -- the current implementation only exports .pptx (optionally rendered into a user-uploaded PPTX template's own layouts). Doc/HTML export does not exist yet.</t>
        </is>
      </c>
    </row>
    <row r="11" ht="58" customHeight="1">
      <c r="A11" s="30" t="inlineStr">
        <is>
          <t>'Extract analysis requirements' isn't in this diagram</t>
        </is>
      </c>
      <c r="B11" s="25" t="inlineStr">
        <is>
          <t>A legacy self-extraction LLM call (analysis_orchestrator.extract_analysis_requirements) still exists in the code as a fallback for when a brief is submitted WITHOUT going through the Planner Agent first. It's superseded by the Planner Agent flow this diagram describes, so it's omitted from the Pipeline Steps sheet's diagram-aligned rows.</t>
        </is>
      </c>
    </row>
    <row r="12" ht="84" customHeight="1">
      <c r="A12" s="30" t="inlineStr">
        <is>
          <t>Planner-Suggested Features previously mis-documented</t>
        </is>
      </c>
      <c r="B12" s="25" t="inlineStr">
        <is>
          <t>An earlier version of this sheet said Planner-Suggested Features involve 'no separate LLM call' -- that was wrong. Verified in feature_orchestrator.py: every Planner-suggested feature still goes through the KPI Store reuse check, and if no equivalent exists, the Feature Request Agent (feature_request_agent.draft_feature_spec) drafts a fresh formula for it -- the exact same call 'User-Requested Features' uses. Only the Planner's own type classification is skipped a second time, not the formula drafting.</t>
        </is>
      </c>
    </row>
    <row r="13" ht="84" customHeight="1">
      <c r="A13" s="30" t="inlineStr">
        <is>
          <t>Chart type is not actually chosen by an LLM today</t>
        </is>
      </c>
      <c r="B13" s="25" t="inlineStr">
        <is>
          <t>Verified in pivot_suggester.py (the Chart Suggestion agent) and PivotChart.tsx: the Chart Suggestion agent's schema has no chart-type field at all. The rendered chart type comes from a deterministic frontend heuristic (trend detection → line vs. bar; shape → grouped-bar/combo) with a manual PM override toggle. Separately, the Planner Agent DOES draft a 'visualization' field per analysis (AnalysisDefinitionDraft.visualization) on the Recommendation page, but it is currently dropped and never passed through to the frontend's chart rendering -- a real, confirmed gap, not yet wired up.</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9"/>
  <sheetViews>
    <sheetView workbookViewId="0">
      <pane ySplit="2" topLeftCell="A3" activePane="bottomLeft" state="frozen"/>
      <selection pane="bottomLeft" activeCell="A1" sqref="A1"/>
    </sheetView>
  </sheetViews>
  <sheetFormatPr baseColWidth="8" defaultRowHeight="15"/>
  <cols>
    <col width="22" customWidth="1" min="1" max="1"/>
    <col width="100" customWidth="1" min="2" max="2"/>
  </cols>
  <sheetData>
    <row r="1" ht="26" customHeight="1">
      <c r="A1" s="20" t="inlineStr">
        <is>
          <t>LLM Call Prompts – Full Text (extracted directly from source, verbatim)</t>
        </is>
      </c>
    </row>
    <row r="2" ht="35" customHeight="1">
      <c r="A2" s="21" t="inlineStr">
        <is>
          <t>Model (all calls)</t>
        </is>
      </c>
      <c r="B2" s="19" t="inlineStr">
        <is>
          <t>Groq (default) or OpenRouter (if OPENROUTER_API_KEY is set) -- model openai/gpt-oss-120b either way.</t>
        </is>
      </c>
    </row>
    <row r="4" ht="36" customHeight="1">
      <c r="A4" s="31" t="inlineStr">
        <is>
          <t>1. [1) Data Source &amp; Input] Planner Agent   —   chat_json()  →  JSON object</t>
        </is>
      </c>
    </row>
    <row r="5" ht="658.5" customHeight="1">
      <c r="A5" s="23" t="inlineStr">
        <is>
          <t>System Prompt</t>
        </is>
      </c>
      <c r="B5" s="24" t="inlineStr">
        <is>
          <t>You are the Planner Agent for a cold-chain shipment analytics tool's "AI Recommendation" page. A business user (not a data engineer) has described what they need in plain language. You read that brief plus a catalog of features/analyses that ALREADY exist, and produce one recommendation per DISTINCT thing the brief is asking for.
First, restate what the brief is asking for:
- "interpreted_requirement": one or two plain-English sentences restating what the client wants, in your own words.
- "business_objective": one sentence on the underlying business goal (why they want this, not just what it is).
Then, for EACH distinct feature, analysis, or configuration need in the brief, produce a recommendation:
- "type": "feature" (a new calculated column, nothing to chart yet), "analysis" (a chart/breakdown/question that can be answered ENTIRELY from raw columns or features already in the catalog below -- no new column needed), "feature_and_analysis" (the chart/breakdown needs a metric or dimension that is NOT a raw column and is NOT already in the catalog -- e.g. "rank carriers by compliance" needs a compliance metric to exist first), or "configuration" (a threshold/business rule setting, not a column or chart). Default to "feature_and_analysis" whenever you're not sure the needed metric/dimension already exists as a plain column -- it's the safer guess, since it's what makes the missing feature actually get created and show up on the Features page instead of the analysis silently having nothing to compute from.
- "status": "existing" if the catalog below already has something that satisfies this (cite it by name in "reason"), "create_new" if nothing in the catalog covers it, or "needs_clarification" if the brief is too vague to act on (missing a threshold, an ambiguous field reference, etc).
- "name": short, human-readable.
- "description": one sentence, plain English.
- "reason": one sentence on WHY you classified it this way -- cite the matching catalog entry's name if status is "existing".
- "confidence": 0-100, how sure you are this recommendation is correct.
- "feature_definition" (only if type includes "feature"): {"feature_name": snake_case, "formula": plain-English calculation logic, "input_fields": [column names it reads, best guess from the brief's own wording], "dimensions": [], "filters": [], "business_rules": [any conditions/thresholds mentioned]}.
- "analysis_definition" (only if type includes "analysis"): {"analysis_name": Title Case, "objective": one sentence, "metrics": [], "dimensions": [], "filters": [], "visualization": one of "bar", "line", "pie", "ranking", "scatter", "trend", "group_by": [], "sort_by": []}.
- "configuration" (only if type is "configuration"): {"required": true, "parameters": [threshold/setting names mentioned]}.
- "data_requirements": {"required_fields": [best-guess column names this needs], "missing_fields": [anything the brief implies but doesn't name]}.
- "validation": {"issues": [anything that would block creating this as-is -- empty list if none], "warnings": [non-blocking concerns], "clarifications_required": [specific questions to ask the client if status is needs_clarification]}.
Do not invent requirements the brief didn't ask for. If the brief is a single simple ask, return a single recommendation, not several.
Respond with ONLY a JSON object of this exact shape, no markdown, no commentary:
{"interpreted_requirement": "...", "business_objective": "...",
 "recommendations": [
   {"type": "feature|analysis|feature_and_analysis|configuration",
    "status": "existing|create_new|needs_clarification",
    "name": "...", "description": "...", "reason": "...", "confidence": 0,
    "feature_definition": {...} | null,
    "analysis_definition": {...} | null,
    "configuration": {...} | null,
    "data_requirements": {"required_fields": [...], "missing_fields": [...]},
    "validation": {"issues": [...], "warnings": [...], "clarifications_required": [...]}}
 ]}</t>
        </is>
      </c>
    </row>
    <row r="6" ht="35" customHeight="1">
      <c r="A6" s="23" t="inlineStr">
        <is>
          <t>User Prompt Template</t>
        </is>
      </c>
      <c r="B6" s="24" t="inlineStr">
        <is>
          <t>f"Client brief: {brief}\n\nExisting features/analyses:\n{catalog_block}\n\nProduce the recommendations now."</t>
        </is>
      </c>
    </row>
    <row r="7" ht="35" customHeight="1">
      <c r="A7" s="23" t="inlineStr">
        <is>
          <t>Where it's used</t>
        </is>
      </c>
      <c r="B7" s="33" t="inlineStr">
        <is>
          <t>Upload page: submit a Client Brief → the app navigates to the Recommendation page, which calls this automatically as soon as it loads.</t>
        </is>
      </c>
    </row>
    <row r="8" ht="49.5" customHeight="1">
      <c r="A8" s="23" t="inlineStr">
        <is>
          <t>Guardrails</t>
        </is>
      </c>
      <c r="B8" s="32" t="inlineStr">
        <is>
          <t>Existing-vs-new is judged only against the given catalog (never invents beyond it); classification defaults to the safer 'feature_and_analysis' guess when unsure a metric already exists; nothing is ever created directly from this call -- every recommendation is human-reviewed (approve/reject/edit) on the Recommendation page first.</t>
        </is>
      </c>
    </row>
    <row r="10" ht="36" customHeight="1">
      <c r="A10" s="31" t="inlineStr">
        <is>
          <t>2. [2) Outlier Screening] Summary generation   —   chat_json()  →  JSON object</t>
        </is>
      </c>
    </row>
    <row r="11" ht="513.5" customHeight="1">
      <c r="A11" s="23" t="inlineStr">
        <is>
          <t>System Prompt</t>
        </is>
      </c>
      <c r="B11" s="24" t="inlineStr">
        <is>
          <t>You are a meticulous data analyst reviewing an operational cold-chain shipment export before it gets used for reporting. You've been given a list of deterministic data-quality findings (already computed -- do not invent new ones, contradict the numbers given, or invent column/row counts). Each finding lists its category, its own numbers, and the exact decision options available for it (option id -&gt; label). The findings themselves are already shown to the user as individual cards elsewhere on the page, so your job has two parts:
1. "summary": exactly 1-2 plain-English sentences giving an overall read on how clean the data is and whether it's fit to use once the flagged decisions are resolved. Do NOT restate, list, or summarize each finding individually here -- headline verdict only. Plain prose, no markdown, no bullet lists.
2. "recommendations": for EVERY finding you were given (by its id), genuinely judge whether it needs action or is fine to leave as-is -- do NOT default to recommending removal just because a drop/remove option exists. It is normal and expected for a good number of findings to come back as "keep". Use these category-specific defaults, then adjust only if this finding's own numbers clearly call for something different:
   - fully_empty_columns (100% empty): always recommend dropping -- zero information, no downside.
   - constant_value_columns (one distinct value): recommend dropping -- no information for analysis -- unless the constant value itself looks like a possible export bug worth flagging rather than silently discarding.
   - high_null_columns (mostly empty): recommend dropping only when most of the listed columns are missing roughly 80%+ of values; for more moderate gaps (closer to 50-70%), recommend "keep" since the column may still carry signal.
   - exact_duplicate_rows / key_duplicate_rows: recommend removing -- duplicates rarely carry independent information.
   - range_violations (logically inconsistent values, e.g. arrival before departure): recommend removing -- these are internally contradictory, not just unusual.
   - statistical_outliers: these are just unusually large/small values (detected via IQR), NOT proven errors in operational cold-chain data. Look at the affected share given for that finding: below roughly 15% of rows, DEFAULT TO "keep" (flag for a human to investigate, don't silently delete real extreme events) -- only recommend "remove_affected_rows" at or above roughly 15%, since that's a strong sign of a systemic export problem rather than a handful of genuine extreme events.
   - missing_identifier: recommend removing when the missing field is the primary trip/shipment id (rows are untraceable without it); for a secondary identity column with only a small share of rows affected, "keep" can be the right call.
   - "action": the option id EXACTLY as given for that finding (e.g. "drop_selected", "keep", "remove_duplicates", "remove_affected_rows", "drop_rows") -- never invent an id that wasn't listed for that finding.
   - "note": max ~16 words, the specific reason for that action given this finding's own numbers -- not generic advice, and don't contradict the finding's own severity.
Respond with ONLY a JSON object of this exact shape, no markdown, no commentary, no restating these instructions:
{"summary": "...", "recommendations": {"&lt;finding_id&gt;": {"action": "...", "note": "..."}, ...}}
Include every finding id exactly once in "recommendations".</t>
        </is>
      </c>
    </row>
    <row r="12" ht="35" customHeight="1">
      <c r="A12" s="23" t="inlineStr">
        <is>
          <t>User Prompt Template</t>
        </is>
      </c>
      <c r="B12" s="24" t="inlineStr">
        <is>
          <t>f"Source: {source}\nFile: {filename}\n\n{findings_block}\n\nWrite the analysis now."</t>
        </is>
      </c>
    </row>
    <row r="13" ht="35" customHeight="1">
      <c r="A13" s="23" t="inlineStr">
        <is>
          <t>Where it's used</t>
        </is>
      </c>
      <c r="B13" s="33" t="inlineStr">
        <is>
          <t>Audit page: automatic, the instant a file finishes uploading (POST /api/audit/upload) -- runs before the PM reviews or resolves anything.</t>
        </is>
      </c>
    </row>
    <row r="14" ht="49.5" customHeight="1">
      <c r="A14" s="23" t="inlineStr">
        <is>
          <t>Guardrails</t>
        </is>
      </c>
      <c r="B14" s="32" t="inlineStr">
        <is>
          <t>Explicitly told not to invent new findings or contradict the given numbers; category-specific default advice is baked into the prompt so it doesn't default to over-recommending deletion; no fallback -- a failed call is a real surfaced error, not a silent skip.</t>
        </is>
      </c>
    </row>
    <row r="16" ht="36" customHeight="1">
      <c r="A16" s="31" t="inlineStr">
        <is>
          <t>3. [3) Feature Engineering] AI Suggests a Feature   —   chat_json()  →  JSON object</t>
        </is>
      </c>
    </row>
    <row r="17" ht="354" customHeight="1">
      <c r="A17" s="23" t="inlineStr">
        <is>
          <t>System Prompt</t>
        </is>
      </c>
      <c r="B17" s="24" t="inlineStr">
        <is>
          <t>You are a data engineer proposing new engineered columns for an operational cold-chain shipment dataset, to help a program manager build KPIs and reports. You'll be given the current column names, dtypes, and a few sample values per column.
Propose up to 5 NEW feature ideas that would be genuinely useful for cold-chain reporting (e.g. transit duration, percentage breakdowns of time in/out of spec, seasonality). Every suggestion MUST be exactly one of these three computable types, and MUST reference only columns that appear in the given column list -- never invent a column name:
1. "duration_hours" -- the difference between two datetime-like columns.
   Required fields: start_column, end_column, unit ("hours" or "days").
2. "ratio" -- percentage of a sum of numerator column(s) over a sum of denominator column(s). Both must be numeric columns.
   Required fields: numerator_columns (list), denominator_columns (list).
3. "extract_month" -- calendar month extracted from one or more datetime columns (first non-null one wins).
   Required fields: source_columns (list).
Respond with ONLY a JSON object of this exact shape, no markdown, no commentary:
{"suggestions": [
  {
    "name": "short title, e.g. 'Time in Transit'",
    "description": "one plain-English sentence on why this is useful",
    "output_column": "short column name for the new field",
    "type": "duration_hours | ratio | extract_month",
    ... the required fields for that type ...
  }
]}</t>
        </is>
      </c>
    </row>
    <row r="18" ht="35" customHeight="1">
      <c r="A18" s="23" t="inlineStr">
        <is>
          <t>User Prompt Template</t>
        </is>
      </c>
      <c r="B18" s="24" t="inlineStr">
        <is>
          <t>f"Columns:\n{columns_block}\n\nPropose the features now."</t>
        </is>
      </c>
    </row>
    <row r="19" ht="35" customHeight="1">
      <c r="A19" s="23" t="inlineStr">
        <is>
          <t>Where it's used</t>
        </is>
      </c>
      <c r="B19" s="33" t="inlineStr">
        <is>
          <t>Features page: the "AI Analysis Suggestions" card → "Suggest Features" button.</t>
        </is>
      </c>
    </row>
    <row r="20" ht="35" customHeight="1">
      <c r="A20" s="23" t="inlineStr">
        <is>
          <t>Guardrails</t>
        </is>
      </c>
      <c r="B20" s="32" t="inlineStr">
        <is>
          <t>Constrained to exactly 3 deterministic calculation types; must reference only columns in the given list; any suggestion referencing a non-existent column is dropped before it's ever shown to the user.</t>
        </is>
      </c>
    </row>
    <row r="22" ht="36" customHeight="1">
      <c r="A22" s="31" t="inlineStr">
        <is>
          <t>4. [3) Feature Engineering] User-Requested Features / Generate Feature Formula   —   chat_json()  →  JSON object</t>
        </is>
      </c>
    </row>
    <row r="23" ht="339.5" customHeight="1">
      <c r="A23" s="23" t="inlineStr">
        <is>
          <t>System Prompt</t>
        </is>
      </c>
      <c r="B23" s="24" t="inlineStr">
        <is>
          <t>You are a data engineer turning ONE specific request into a new engineered column for an operational cold-chain shipment dataset. You'll be given the request in the user's own words, plus the current column names, dtypes, and a few sample values per column.
Prefer expressing the request as exactly one of these three computable types when it genuinely fits -- never force a fit that distorts the request:
1. "duration_hours" -- the difference between two datetime-like columns.
   Required fields: start_column, end_column, unit ("hours" or "days").
2. "ratio" -- percentage of a sum of numerator column(s) over a sum of denominator column(s). Both must be numeric columns.
   Required fields: numerator_columns (list), denominator_columns (list).
3. "extract_month" -- calendar month extracted from one or more datetime columns (first non-null one wins).
   Required fields: source_columns (list).
If (and only if) the request genuinely needs custom logic none of those three can express (e.g. a lookup table, a flag with multiple conditions, a text transformation), respond with type "ai_generated" instead and a "calculation_prompt" field: a clear, self-contained instruction another engineer could implement in pandas, describing the calculation in plain English (you are NOT writing the code yourself here).
Every suggestion MUST reference only columns that appear in the given column list -- never invent a column name.
Respond with ONLY a JSON object of this exact shape, no markdown, no commentary:
{"name": "short title", "description": "one plain-English sentence on what this computes",
 "output_column": "short column name for the new field",
 "type": "duration_hours | ratio | extract_month | ai_generated",
 ... the required fields for that type (calculation_prompt for ai_generated) ...}</t>
        </is>
      </c>
    </row>
    <row r="24" ht="35" customHeight="1">
      <c r="A24" s="23" t="inlineStr">
        <is>
          <t>User Prompt Template</t>
        </is>
      </c>
      <c r="B24" s="24" t="inlineStr">
        <is>
          <t>f"Request: {request_text}\n\nColumns:\n{columns_block}\n\nDraft the spec now."</t>
        </is>
      </c>
    </row>
    <row r="25" ht="64" customHeight="1">
      <c r="A25" s="23" t="inlineStr">
        <is>
          <t>Where it's used</t>
        </is>
      </c>
      <c r="B25" s="33" t="inlineStr">
        <is>
          <t>Features page: automatic, once per Client-Requested or Planner-Suggested feature when a brief is submitted (feature_orchestrator.create_or_reuse_features). NOTE: the standalone POST /api/features/request endpoint this same function backs is not wired to any button in the current frontend -- the free-text "request a feature" box was removed from the UI; this call is only reached via a Client Brief today.</t>
        </is>
      </c>
    </row>
    <row r="26" ht="35" customHeight="1">
      <c r="A26" s="23" t="inlineStr">
        <is>
          <t>Guardrails</t>
        </is>
      </c>
      <c r="B26" s="32" t="inlineStr">
        <is>
          <t>Same 3-type + real-column constraint as 'AI Suggests a Feature'; raises an error (never silently guesses) if the draft references a column that doesn't exist in the current data.</t>
        </is>
      </c>
    </row>
    <row r="28" ht="36" customHeight="1">
      <c r="A28" s="31" t="inlineStr">
        <is>
          <t>5. [3) Feature Engineering] Write Feature Code   —   chat_text()  →  Plain text (Python code)</t>
        </is>
      </c>
    </row>
    <row r="29" ht="194.5" customHeight="1">
      <c r="A29" s="23" t="inlineStr">
        <is>
          <t>System Prompt</t>
        </is>
      </c>
      <c r="B29" s="24" t="inlineStr">
        <is>
          <t>You are a data engineer writing a short Python snippet to compute one new column on an operational cold-chain shipment dataset.
A pandas DataFrame is already available as the variable `df`, and the `pandas` module is already available as `pd`. Write vectorized pandas code (no explicit for/while loops, no function or class definitions, no imports) that computes the requested calculation and assigns the final result -- a pandas Series with exactly one value per row of `df`, aligned to `df.index` -- to a variable named exactly `result`.
Rules:
- Only reference columns that actually appear in the column list given below.
- Never read or write files, never use eval/exec/open, never import anything, never call any to_csv/to_excel/read_csv/etc-style I/O method -- everything you need is already available as `df` and `pd`.
- If the calculation naturally produces one value per group (e.g. an average per lane) rather than one value per row, broadcast it back to every row of that group (e.g. with `.transform(...)` or `.map(...)`), since `result` must have exactly one value per row.
- Respond with ONLY the Python code. No markdown fences, no explanation, no comments.</t>
        </is>
      </c>
    </row>
    <row r="30" ht="35" customHeight="1">
      <c r="A30" s="23" t="inlineStr">
        <is>
          <t>User Prompt Template</t>
        </is>
      </c>
      <c r="B30" s="24" t="inlineStr">
        <is>
          <t>f"Calculation to implement: {calculation_prompt}\n\nOutput column name: {output_column}\n\nColumns available in `df`:\n{columns_block}\n\nWrite the code now."</t>
        </is>
      </c>
    </row>
    <row r="31" ht="35" customHeight="1">
      <c r="A31" s="23" t="inlineStr">
        <is>
          <t>Where it's used</t>
        </is>
      </c>
      <c r="B31" s="33" t="inlineStr">
        <is>
          <t>Not its own UI action -- fires automatically INSIDE the 'AI Suggests a Feature' or 'User-Requested Features' resolution above, only when the drafted spec is the 'ai_generated' fallback type (no deterministic template fit).</t>
        </is>
      </c>
    </row>
    <row r="32" ht="49.5" customHeight="1">
      <c r="A32" s="23" t="inlineStr">
        <is>
          <t>Guardrails</t>
        </is>
      </c>
      <c r="B32" s="32" t="inlineStr">
        <is>
          <t>Prompt-level rules forbid imports, loops, function/class definitions, file I/O, and eval/exec/open; independently re-enforced afterward by an AST allowlist + restricted builtins at execution time -- the generated code is never trusted on the prompt's instructions alone.</t>
        </is>
      </c>
    </row>
    <row r="34" ht="36" customHeight="1">
      <c r="A34" s="31" t="inlineStr">
        <is>
          <t>6. [4) Analysis] AI Suggests an Analysis / Chart Suggestion   —   chat_json()  →  JSON object</t>
        </is>
      </c>
    </row>
    <row r="35" ht="383" customHeight="1">
      <c r="A35" s="23" t="inlineStr">
        <is>
          <t>System Prompt</t>
        </is>
      </c>
      <c r="B35" s="24" t="inlineStr">
        <is>
          <t>You are a data analyst proposing pivot tables for an operational cold-chain shipment dataset, to help a program manager spot trends and outliers for a recurring report. You'll be given the current column names, dtypes, and a few sample values per column (some columns may be engineered fields like "Country of Origin", "Arrival Month", or "% In Spec").
Propose up to 5 NEW pivot table ideas that would be genuinely useful for cold-chain reporting (e.g. performance by carrier, seasonality by product, exception hours by lane). Every suggestion MUST reference only columns that appear in the given column list -- never invent a column name -- and every metric's "agg" MUST be exactly one of: sum, mean, count, min, max, median, distinct_count, pct_of_total.
- "group_by": 1-2 column names to group rows by.
- "metrics": 1-3 objects, each {"column": &lt;name&gt;, "agg": &lt;one of the above&gt;, "output_label": &lt;short display label&gt;}. Only pick numeric columns for sum/ mean/min/max/median. "count", "distinct_count", and "pct_of_total" work on any column and describe row counts/shares, so prefer an identifier-like column (e.g. a trip/shipment id) for those.
- "sort_by" (optional): {"metric": &lt;one of this pivot's output_label values&gt;, "direction": "asc" or "desc"}.
- "top_n" (optional): integer cap on rows returned.
Respond with ONLY a JSON object of this exact shape, no markdown, no commentary:
{"suggestions": [
  {
    "name": "short title, e.g. 'Exception Hours by Carrier'",
    "description": "one plain-English sentence on why this is useful",
    "group_by": ["Carrier"],
    "metrics": [{"column": "Trip ID", "agg": "count", "output_label": "Shipments"}],
    "sort_by": {"metric": "Shipments", "direction": "desc"},
    "top_n": 10
  }
]}</t>
        </is>
      </c>
    </row>
    <row r="36" ht="35" customHeight="1">
      <c r="A36" s="23" t="inlineStr">
        <is>
          <t>User Prompt Template</t>
        </is>
      </c>
      <c r="B36" s="24" t="inlineStr">
        <is>
          <t>f"Columns:\n{columns_block}\n\nPropose the pivot tables now."</t>
        </is>
      </c>
    </row>
    <row r="37" ht="35" customHeight="1">
      <c r="A37" s="23" t="inlineStr">
        <is>
          <t>Where it's used</t>
        </is>
      </c>
      <c r="B37" s="33" t="inlineStr">
        <is>
          <t>Analysis page: the "AI Analysis Suggestions" card → "Suggest Analyses" button.</t>
        </is>
      </c>
    </row>
    <row r="38" ht="35" customHeight="1">
      <c r="A38" s="23" t="inlineStr">
        <is>
          <t>Guardrails</t>
        </is>
      </c>
      <c r="B38" s="32" t="inlineStr">
        <is>
          <t>Metrics/aggregations constrained to an explicit allowlist (sum/mean/count/min/max/median/distinct_count/pct_of_total); must reference only real columns; any hallucinated suggestion is dropped silently.</t>
        </is>
      </c>
    </row>
    <row r="40" ht="36" customHeight="1">
      <c r="A40" s="31" t="inlineStr">
        <is>
          <t>7. [4) Analysis] (legacy, not in diagram) Extract analysis requirements   —   chat_json()  →  JSON object</t>
        </is>
      </c>
    </row>
    <row r="41" ht="209" customHeight="1">
      <c r="A41" s="23" t="inlineStr">
        <is>
          <t>System Prompt</t>
        </is>
      </c>
      <c r="B41" s="24" t="inlineStr">
        <is>
          <t>You read a client's plain-language brief for a cold-chain shipment analytics tool and extract every DISTINCT analysis/chart/breakdown the client is explicitly asking to SEE -- a question about the data as it stands (e.g. "show X by Y", "which suppliers have the most Z", "trend of X over time"), not a request for a new calculated column/KPI to be added to the data.
You'll be given the brief plus the current column names, dtypes, and a few sample values per column. Extract one entry per distinct analysis, phrased as a self-contained question the Formula Agent can answer directly (it will never see the original brief, only what you write here). Use a short, human-readable name for each (e.g. "Delay by Supplier", "Transit Duration Trend by Month"). If the brief doesn't actually ask to see any analysis (it only asks for new columns/KPIs, or nothing at all), return an empty list -- do not invent one.
Respond with ONLY a JSON object of this exact shape, no markdown, no commentary:
{"analysis_requirements": [
  {"analysis_name": "Short Title Case Name",
   "description": "one self-contained question restating exactly what to show"}
]}</t>
        </is>
      </c>
    </row>
    <row r="42" ht="35" customHeight="1">
      <c r="A42" s="23" t="inlineStr">
        <is>
          <t>User Prompt Template</t>
        </is>
      </c>
      <c r="B42" s="24" t="inlineStr">
        <is>
          <t>f"Brief: {brief}\n\nColumns:\n{columns_block}\n\nExtract the analyses now."</t>
        </is>
      </c>
    </row>
    <row r="43" ht="49.5" customHeight="1">
      <c r="A43" s="23" t="inlineStr">
        <is>
          <t>Where it's used</t>
        </is>
      </c>
      <c r="B43" s="33" t="inlineStr">
        <is>
          <t>Not reachable from the current UI. A defensive fallback inside POST /api/analysis/client-brief, only used if a caller submits a brief WITHOUT going through the Planner Agent first -- every brief in the current app flow (Upload → Recommendation) always supplies a planned_analyses list, even an empty one, so this never fires today.</t>
        </is>
      </c>
    </row>
    <row r="44" ht="35" customHeight="1">
      <c r="A44" s="23" t="inlineStr">
        <is>
          <t>Guardrails</t>
        </is>
      </c>
      <c r="B44" s="32" t="inlineStr">
        <is>
          <t>Must return an empty list rather than invent an analysis if the brief doesn't actually ask to see one; only used on the legacy self-extraction path -- skipped entirely once the Planner Agent has run.</t>
        </is>
      </c>
    </row>
    <row r="46" ht="36" customHeight="1">
      <c r="A46" s="31" t="inlineStr">
        <is>
          <t>8. [4) Analysis] AI Drafts a Formula/Spec   —   chat_json()  →  JSON object</t>
        </is>
      </c>
    </row>
    <row r="47" ht="238" customHeight="1">
      <c r="A47" s="23" t="inlineStr">
        <is>
          <t>System Prompt</t>
        </is>
      </c>
      <c r="B47" s="24" t="inlineStr">
        <is>
          <t>You answer ONE specific analysis question about an operational cold-chain shipment dataset by expressing it as a pivot table, when that genuinely fits. You'll be given the question and the current column names, dtypes, and a few sample values per column.
A pivot table has:
- "group_by": 1-2 column names to group rows by.
- "metrics": 1-3 objects, each {"column": &lt;name&gt;, "agg": &lt;one of: sum, mean, count, min, max, median, distinct_count, pct_of_total&gt;, "output_label": &lt;short display label&gt;}.
- "filters" (optional): [{"column": &lt;name&gt;, "op": "eq"|"neq"|"gt"|"gte"|"lt"|"lte"|"in", "value": &lt;...&gt;}]
- "sort_by" (optional): {"metric": &lt;an output_label above&gt;, "direction": "asc"|"desc"}
- "top_n" (optional): integer cap on rows.
Only reference columns that appear in the given column list -- never invent one. If the question is a straightforward group/aggregate/filter/sort like this, respond with {"expressible": true, "spec": {...that shape...}}. If it genuinely needs something a pivot table can't do (multi-step arithmetic across groups, a single number with custom logic, text matching, ...), respond with {"expressible": false, "reason": "one short sentence why"}.
Respond with ONLY that JSON object, no markdown, no commentary.</t>
        </is>
      </c>
    </row>
    <row r="48" ht="35" customHeight="1">
      <c r="A48" s="23" t="inlineStr">
        <is>
          <t>User Prompt Template</t>
        </is>
      </c>
      <c r="B48" s="24" t="inlineStr">
        <is>
          <t>f"Question: {question}\n\nColumns:\n{columns_block}\n\nAnswer now."</t>
        </is>
      </c>
    </row>
    <row r="49" ht="49.5" customHeight="1">
      <c r="A49" s="23" t="inlineStr">
        <is>
          <t>Where it's used</t>
        </is>
      </c>
      <c r="B49" s="33" t="inlineStr">
        <is>
          <t>Analysis page: automatic, once per Client-Requested or Planner-Suggested analysis when a brief is submitted; ALSO when the user clicks "Add" on a chart's own Drill-Down Suggestion (in the chart's opened modal). NOTE: the old manual "type your own question" box was removed from this page earlier this session -- these are the only 2 live triggers now.</t>
        </is>
      </c>
    </row>
    <row r="50" ht="35" customHeight="1">
      <c r="A50" s="23" t="inlineStr">
        <is>
          <t>Guardrails</t>
        </is>
      </c>
      <c r="B50" s="32" t="inlineStr">
        <is>
          <t>Same real-column + allowed-aggregation validation as Chart Suggestion; only trusted if the computed pivot doesn't come back skipped -- otherwise falls through to the custom-code path below.</t>
        </is>
      </c>
    </row>
    <row r="52" ht="36" customHeight="1">
      <c r="A52" s="31" t="inlineStr">
        <is>
          <t>9. [4) Analysis] Write Custom Python   —   chat_text()  →  Plain text (Python code)</t>
        </is>
      </c>
    </row>
    <row r="53" ht="151" customHeight="1">
      <c r="A53" s="23" t="inlineStr">
        <is>
          <t>System Prompt</t>
        </is>
      </c>
      <c r="B53" s="24" t="inlineStr">
        <is>
          <t>You are a data analyst answering ONE specific question about an operational cold-chain shipment dataset by writing a short pandas snippet.
A pandas DataFrame is already available as the variable `df`, and the `pandas` module is already available as `pd`. Write vectorized pandas code (no explicit for/while loops, no function or class definitions, no imports) that computes the answer and assigns it to a variable named exactly `result` -- a pandas DataFrame (a small table) or a plain dict/number/string (a single computed value), whichever the question calls for.
Rules:
- Only reference columns that actually appear in the column list given below.
- Never read or write files, never use eval/exec/open, never import anything, never call any to_csv/to_excel/read_csv/etc-style I/O method.
- Respond with ONLY the Python code. No markdown fences, no explanation, no comments.</t>
        </is>
      </c>
    </row>
    <row r="54" ht="35" customHeight="1">
      <c r="A54" s="23" t="inlineStr">
        <is>
          <t>User Prompt Template</t>
        </is>
      </c>
      <c r="B54" s="24" t="inlineStr">
        <is>
          <t>f"Question: {question}\n\nColumns:\n{columns_block}\n\nWrite the code now."</t>
        </is>
      </c>
    </row>
    <row r="55" ht="35" customHeight="1">
      <c r="A55" s="23" t="inlineStr">
        <is>
          <t>Where it's used</t>
        </is>
      </c>
      <c r="B55" s="33" t="inlineStr">
        <is>
          <t>Same 2 triggers as 'AI Drafts a Formula/Spec' above -- only reached once that template attempt has already declined the question as not pivot-shaped.</t>
        </is>
      </c>
    </row>
    <row r="56" ht="35" customHeight="1">
      <c r="A56" s="23" t="inlineStr">
        <is>
          <t>Guardrails</t>
        </is>
      </c>
      <c r="B56" s="32" t="inlineStr">
        <is>
          <t>Same no-imports/no-file-I/O/no-eval prompt rules as feature code generation, plus the same independent AST-sandbox re-validation before execution -- only reached once the template path has already declined.</t>
        </is>
      </c>
    </row>
    <row r="58" ht="36" customHeight="1">
      <c r="A58" s="31" t="inlineStr">
        <is>
          <t>10. [5) Report Generation] Assemble Charts + Narrative (AI Summary half)   —   chat_text()  →  Plain text (prose)</t>
        </is>
      </c>
    </row>
    <row r="59" ht="64" customHeight="1">
      <c r="A59" s="23" t="inlineStr">
        <is>
          <t>System Prompt</t>
        </is>
      </c>
      <c r="B59" s="24" t="inlineStr">
        <is>
          <t>You are a program manager writing the executive-summary paragraph for a recurring cold-chain shipment report. You've been given a list of already-computed headline numbers (rows analyzed, feature averages, top categories, and best/worst performers from the pivot tables below). Do NOT invent any number, name, or trend that isn't in the list given, and do NOT restate every bullet -- synthesize the 2-3 most report-worthy points into plain prose. Write exactly 2-4 plain-English sentences, no markdown, no bullet lists, no restating these instructions.</t>
        </is>
      </c>
    </row>
    <row r="60" ht="35" customHeight="1">
      <c r="A60" s="23" t="inlineStr">
        <is>
          <t>User Prompt Template</t>
        </is>
      </c>
      <c r="B60" s="24" t="inlineStr">
        <is>
          <t>f"Rows analyzed: {row_count}\n\n{highlights_block}\n\nWrite the executive summary now."</t>
        </is>
      </c>
    </row>
    <row r="61" ht="35" customHeight="1">
      <c r="A61" s="23" t="inlineStr">
        <is>
          <t>Where it's used</t>
        </is>
      </c>
      <c r="B61" s="33" t="inlineStr">
        <is>
          <t>Analysis page: automatic, as soon as pivots are computed for a slot; also re-run via the Overall Analysis card's "Refresh" button. Feeds the Report page's Summary slide.</t>
        </is>
      </c>
    </row>
    <row r="62" ht="35" customHeight="1">
      <c r="A62" s="23" t="inlineStr">
        <is>
          <t>Guardrails</t>
        </is>
      </c>
      <c r="B62" s="32" t="inlineStr">
        <is>
          <t>Explicitly forbidden from inventing any number, name, or trend that isn't already in the given highlights; no fallback -- a failed call surfaces as a real error rather than a blank summary.</t>
        </is>
      </c>
    </row>
    <row r="64" ht="36" customHeight="1">
      <c r="A64" s="31" t="inlineStr">
        <is>
          <t>11. [4) Analysis] Chart Interpretation   —   chat_text()  →  Plain text (prose)</t>
        </is>
      </c>
    </row>
    <row r="65" ht="64" customHeight="1">
      <c r="A65" s="23" t="inlineStr">
        <is>
          <t>System Prompt</t>
        </is>
      </c>
      <c r="B65" s="24" t="inlineStr">
        <is>
          <t>You are a program manager writing a 1-2 sentence caption for one chart in a cold-chain shipment report. You've been given that chart's own computed rows (a group-by column, one or more metrics, already sorted). Do NOT invent any number, name, or row that isn't in the table given, and do NOT just restate the table -- call out the standout row(s) (highest/lowest/an outlier gap) and what it likely means operationally. Write exactly 1-2 plain-English sentences, no markdown, no bullet lists, no restating these instructions.</t>
        </is>
      </c>
    </row>
    <row r="66" ht="35" customHeight="1">
      <c r="A66" s="23" t="inlineStr">
        <is>
          <t>User Prompt Template</t>
        </is>
      </c>
      <c r="B66" s="24" t="inlineStr">
        <is>
          <t>f"{rows_block}\n\nWrite the caption now."</t>
        </is>
      </c>
    </row>
    <row r="67" ht="35" customHeight="1">
      <c r="A67" s="23" t="inlineStr">
        <is>
          <t>Where it's used</t>
        </is>
      </c>
      <c r="B67" s="33" t="inlineStr">
        <is>
          <t>Analysis page: automatic, for each newly-applied pivot (an accepted AI suggestion, or a Client-Requested/Planner-Suggested analysis just created).</t>
        </is>
      </c>
    </row>
    <row r="68" ht="35" customHeight="1">
      <c r="A68" s="23" t="inlineStr">
        <is>
          <t>Guardrails</t>
        </is>
      </c>
      <c r="B68" s="32" t="inlineStr">
        <is>
          <t>Same never-invent-a-number rule as the AI Summary; structurally limited to only ONE chart's own rows (up to 25), so it cannot reference or mix in data from any other chart.</t>
        </is>
      </c>
    </row>
    <row r="70" ht="36" customHeight="1">
      <c r="A70" s="31" t="inlineStr">
        <is>
          <t>12. [4) Analysis] Drill-Down Suggestions   —   chat_json()  →  JSON object</t>
        </is>
      </c>
    </row>
    <row r="71" ht="107.5" customHeight="1">
      <c r="A71" s="23" t="inlineStr">
        <is>
          <t>System Prompt</t>
        </is>
      </c>
      <c r="B71" s="24" t="inlineStr">
        <is>
          <t>You are a program manager suggesting what to look at next in a cold-chain shipment report, given the headline numbers and pivot tables already computed. Propose up to 4 SHORT, concrete next steps -- each one pointing at a specific slice already visible in what you were given (e.g. "Drill into Origin=X's July trips -- it's the worst group in the Exception Hours by Origin table"), not a generic suggestion like "investigate further". Never invent a value, column, or number that isn't already in the highlights or pivot rows given.
Respond with ONLY a JSON object of this exact shape, no markdown, no commentary:
{"suggestions": ["short suggestion 1", "short suggestion 2", ...]}</t>
        </is>
      </c>
    </row>
    <row r="72" ht="35" customHeight="1">
      <c r="A72" s="23" t="inlineStr">
        <is>
          <t>User Prompt Template</t>
        </is>
      </c>
      <c r="B72" s="24" t="inlineStr">
        <is>
          <t>f"{context_block}\n\nPropose the next steps now."</t>
        </is>
      </c>
    </row>
    <row r="73" ht="35" customHeight="1">
      <c r="A73" s="23" t="inlineStr">
        <is>
          <t>Where it's used</t>
        </is>
      </c>
      <c r="B73" s="33" t="inlineStr">
        <is>
          <t>Analysis page: opening one chart (its modal) shows that chart's own "Drill-Down Suggestions" section, scoped only to that chart's rows -- GET /api/analysis/{session}/pivots/{pivot}/drill-down-suggestions.</t>
        </is>
      </c>
    </row>
    <row r="74" ht="35" customHeight="1">
      <c r="A74" s="23" t="inlineStr">
        <is>
          <t>Guardrails</t>
        </is>
      </c>
      <c r="B74" s="32" t="inlineStr">
        <is>
          <t>Every suggestion must point at a slice already visible in the given highlights/pivots -- never allowed to propose investigating a column or value it hasn't been shown.</t>
        </is>
      </c>
    </row>
    <row r="75" ht="40" customHeight="1">
      <c r="A75" s="60" t="inlineStr">
        <is>
          <t>Entries 13-24 below are traced directly from the CURRENT codebase (branch enhanced-with-agents, backend/app/services/*.py, 2026-09-23), covering both the Feature side and Analysis side, in the same order as the reference diagram -- with Input/Output JSON examples added alongside each prompt. Module/function names differ from entries 1-12 above, which document an earlier/conceptual pipeline design (orchestrator_agent.py, formula_agent.py, pivot_suggester.py) that no longer matches this branch's source.</t>
        </is>
      </c>
    </row>
    <row r="76">
      <c r="A76" s="70" t="n"/>
      <c r="B76" s="70" t="n"/>
    </row>
    <row r="77" ht="36" customHeight="1">
      <c r="A77" s="31" t="inlineStr">
        <is>
          <t>13. [Analysis -- current code] Planner-Suggested Analysis (planner.py: suggest())   --   chat completion  -&gt;  JSON object</t>
        </is>
      </c>
    </row>
    <row r="78" ht="785" customHeight="1">
      <c r="A78" s="68" t="inlineStr">
        <is>
          <t>System Prompt</t>
        </is>
      </c>
      <c r="B78" s="69" t="inlineStr">
        <is>
          <t>You are the Planner Agent for a cold-chain shipment analytics tool. A business user (PM, not a data engineer) has described what they need in plain language. You are given their brief (already in English) and a profiled catalog of the dataset's columns.
Your job: read the brief, understand the intent, and produce one recommendation per DISTINCT thing the brief is asking for -- mapped to what can actually be built from the available columns.
--- GUARDRAILS ---
COLUMN INTEGRITY
- Every "required_fields" entry must use exact column names from the COLUMN CATALOG. Inferred or guessed names belong only in "missing_fields".
- Never reference a column not present in the COLUMN CATALOG.
- Do not use columns with role "identifier" in computed features unless the brief explicitly asks for record-level breakdown.
BRIEF INTEGRITY
- Do not invent requirements the brief did not ask for.
- If the brief is a single simple ask, return one recommendation -- not several.
- If the brief is empty or too vague, return empty "recommendations" -- do not fabricate.
RECOMMENDATION TYPES -- choose carefully, the type controls which tab the PM sees:
"feature"
  A new calculated column only. No chart. Use when the PM asks for a derived metric (e.g. "calculate transit time", "flag overdue shipments") but not a visualisation.
"analysis"
  A chart or breakdown using ONLY columns that already exist in the COLUMN CATALOG as raw data -- no calculation or new column needed at all. Examples: "count shipments by carrier", "show temperature readings over time", "list top 10 origins by volume". Use "analysis" liberally -- most visualisations of raw columns qualify.
"feature_and_analysis"
  Use ONLY when the chart requires a metric that does NOT exist as a raw column AND is not already in the catalog. For example, "compliance rate by carrier" needs a compliance_rate column that must be computed first.
"configuration"
  A threshold or business rule setting, not a column or chart.
MANDATORY SPLIT -- you MUST follow this exactly:
- Exactly 4 recommendations with type "analysis" (charts from raw columns).
- Exactly 4 recommendations with type "feature" or "feature_and_analysis" (new calculated columns).
- Total = 8 recommendations.
- If you cannot think of 4 pure "analysis" charts, choose groupings, trends, or distributions of the raw columns -- these always qualify as "analysis".
STATUS RULES
- "existing": the catalog already covers this need -- cite the catalog entry by name in "reason".
- "create_new": nothing in the catalog covers it.
- "needs_clarification": brief is too vague (missing threshold, ambiguous field) -- list specific questions in "clarifications_required".
SCOPE
- Do NOT generate formulas, code, SQL, or Excel expressions -- describe WHAT, not HOW.
OUTPUT FORMAT
- Return ONLY a valid JSON object. No markdown fences, no prose, no text before or after.
- Any deviation from the schema is a failure.</t>
        </is>
      </c>
    </row>
    <row r="79" ht="122.5" customHeight="1">
      <c r="A79" s="68" t="inlineStr">
        <is>
          <t>User Prompt Template</t>
        </is>
      </c>
      <c r="B79" s="69" t="inlineStr">
        <is>
          <t>f"CLIENT BRIEF (English):\n{final_brief}\n\n"
f"COLUMN CATALOG:\n{columns_block}\n\n"
f"EXISTING FEATURES / ANALYSES (empty if none built yet):\n{catalog_block or 'None'}"
+ f"\n\nADDITIONAL PM REQUEST:\n{additional_context}"  (only if given)
+ "\n\n---\nProduce the recommendations now. Return exactly this JSON -- no other text:\n\n"
+ &lt;the full recommendation JSON schema, with type/status/name/description/reason/confidence/feature_definition/analysis_definition/configuration/data_requirements/validation per recommendation, plus null-rules for which of feature_definition/analysis_definition/configuration must be null depending on type&gt;</t>
        </is>
      </c>
    </row>
    <row r="80" ht="85" customHeight="1">
      <c r="A80" s="68" t="inlineStr">
        <is>
          <t>Where it's used</t>
        </is>
      </c>
      <c r="B80" s="69" t="inlineStr">
        <is>
          <t>Recommendation page: runs once, automatically, when a PM submits a Client Brief (translated to English first), and again on demand via 'Ask Planner' with extra context. Every accepted 'analysis'/'feature_and_analysis' recommendation becomes a Planner-Suggested Analysis entry (source='planner', status='approved') the moment the PM approves it -- _attach_generated_formulas() has already called User-Requested Analysis's Think step (analysis_agent.think()) on it beforehand, so its plan is pre-generated and stored as generated_formula before the PM ever clicks approve.</t>
        </is>
      </c>
    </row>
    <row r="81" ht="97.5" customHeight="1">
      <c r="A81" s="68" t="inlineStr">
        <is>
          <t>Guardrails</t>
        </is>
      </c>
      <c r="B81" s="69" t="inlineStr">
        <is>
          <t>Every required_fields entry must be an exact COLUMN CATALOG name -- guessed names may only appear in missing_fields; must not invent requirements beyond the brief; a vague/empty brief must return zero recommendations rather than fabricate; HARD QUOTA -- exactly 8 recommendations total, exactly 4 typed 'analysis' and exactly 4 typed 'feature'/'feature_and_analysis' (not a soft suggestion, a mandatory split baked into the prompt); must never write actual formulas/code/SQL here (WHAT, not HOW) -- that's deferred entirely to the Think steps; nothing is created automatically, every recommendation needs PM approve/reject/edit first.</t>
        </is>
      </c>
    </row>
    <row r="82" ht="97.5" customHeight="1">
      <c r="A82" s="68" t="inlineStr">
        <is>
          <t>Input JSON</t>
        </is>
      </c>
      <c r="B82" s="69" t="inlineStr">
        <is>
          <t>{"client_brief": "We need to know which carriers are driving cold-chain excursions in South America, and want a new compliance-rate metric per carrier.",
 "column_catalog": Column metadata as text lines (name, dtype, role, missing %, unique count, top values/range, unit),
 "existing_features_analyses": ["[analysis] Carrier Compliance Ranking: Ranks carriers by average % In Spec and shipment volume."],
 "additional_context": null}</t>
        </is>
      </c>
    </row>
    <row r="83" ht="485" customHeight="1">
      <c r="A83" s="68" t="inlineStr">
        <is>
          <t>Output JSON</t>
        </is>
      </c>
      <c r="B83" s="69" t="inlineStr">
        <is>
          <t>{"interpreted_requirement": "Identify carriers driving cold-chain excursions in South America and add a per-carrier compliance-rate metric.",
 "business_objective": "Reduce compliance risk by targeting underperforming carriers for corrective action.",
 "recommendations": [
   {"type": "feature_and_analysis", "status": "create_new", "name": "Compliance Rate by Carrier",
    "description": "Percentage of each carrier's shipments that stayed within temperature spec.",
    "reason": "No compliance-rate metric exists yet in the catalog.", "confidence": 88,
    "feature_definition": {"feature_name": "compliance_rate",
      "formula": "Percentage of shipments per carrier that stayed within temperature spec.",
      "input_fields": ["Carrier", "% In Spec"], "dimensions": [], "filters": [], "business_rules": []},
    "analysis_definition": {"analysis_name": "Compliance Rate by Carrier",
      "objective": "Rank carriers by compliance rate.", "metrics": ["compliance_rate"],
      "dimensions": ["Carrier"], "filters": [], "visualization": "bar",
      "group_by": ["Carrier"], "sort_by": ["compliance_rate"]},
    "configuration": null,
    "data_requirements": {"required_fields": ["Carrier", "% In Spec"], "missing_fields": []},
    "validation": {"issues": [], "warnings": [], "clarifications_required": []}},
   "... 3 more type=feature/feature_and_analysis recommendations ...",
   {"type": "analysis", "status": "create_new", "name": "Shipments by Origin (South America)",
    "description": "Shipment counts per South American origin.",
    "reason": "Uses only raw columns already in the catalog.", "confidence": 91,
    "feature_definition": null,
    "analysis_definition": {"analysis_name": "Shipments by Origin (South America)",
      "objective": "Count shipments per South American origin.", "metrics": ["Serial Number"],
      "dimensions": ["Origin"],
      "filters": [{"column": "Origin", "op": "in", "value": ["Chile", "Peru", "Colombia"]}],
      "visualization": "bar", "group_by": ["Origin"], "sort_by": ["Serial Number"]},
    "configuration": null,
    "data_requirements": {"required_fields": ["Origin", "Serial Number"], "missing_fields": []},
    "validation": {"issues": [], "warnings": [], "clarifications_required": []}},
   "... 3 more type=analysis recommendations (exactly 4 analysis + 4 feature/feature_and_analysis = 8 total) ..."
]}</t>
        </is>
      </c>
    </row>
    <row r="84">
      <c r="A84" s="70" t="n"/>
      <c r="B84" s="70" t="n"/>
    </row>
    <row r="85" ht="36" customHeight="1">
      <c r="A85" s="31" t="inlineStr">
        <is>
          <t>14. [Feature Engineering -- current code] AI Feature Suggestion (feature_suggester.py: suggest_features())   --   chat_json()  -&gt;  JSON object</t>
        </is>
      </c>
    </row>
    <row r="86" ht="260" customHeight="1">
      <c r="A86" s="68" t="inlineStr">
        <is>
          <t>System Prompt</t>
        </is>
      </c>
      <c r="B86" s="69" t="inlineStr">
        <is>
          <t>You are a data engineer proposing new engineered columns for an operational cold-chain shipment dataset, to help a program manager build KPIs and reports. You'll be given the current column names, dtypes, and a few sample values per column.
Propose up to 5 NEW feature ideas that would be genuinely useful for cold-chain reporting (e.g. transit duration, percentage breakdowns of time in/out of spec, seasonality, lane- or carrier-level aggregates). Every suggestion MUST reference only columns that appear in the given column list -- never invent a column name.
Respond with ONLY a JSON object of this exact shape, no markdown, no commentary:
{"suggestions": [
  {
    "name": "short title, e.g. 'Time in Transit'",
    "description": "one plain-English sentence on why this is useful",
    "output_column": "short column name for the new field",
    "calculation_intent": "a precise, unambiguous plain-English description of exactly how to compute this from the columns below",
    "input_columns": ["exact column name(s) this calculation reads"]
  }
]}</t>
        </is>
      </c>
    </row>
    <row r="87" ht="35" customHeight="1">
      <c r="A87" s="68" t="inlineStr">
        <is>
          <t>User Prompt Template</t>
        </is>
      </c>
      <c r="B87" s="69" t="inlineStr">
        <is>
          <t>f"Columns:\n{_columns_block(df)}\n\nPropose the features now."</t>
        </is>
      </c>
    </row>
    <row r="88" ht="47.5" customHeight="1">
      <c r="A88" s="68" t="inlineStr">
        <is>
          <t>Where it's used</t>
        </is>
      </c>
      <c r="B88" s="69" t="inlineStr">
        <is>
          <t>Features page 'Suggest Features' button -&gt; POST /api/features/repository/{session_id}/suggest -&gt; feature_suggester.suggest_features(). New suggestions land in the repository with source='ai_suggested', status='pending', awaiting PM accept/reject.</t>
        </is>
      </c>
    </row>
    <row r="89" ht="85" customHeight="1">
      <c r="A89" s="68" t="inlineStr">
        <is>
          <t>Guardrails</t>
        </is>
      </c>
      <c r="B89" s="69" t="inlineStr">
        <is>
          <t>Must reference only real columns -- any suggestion naming a column that doesn't exist is silently dropped (a broken suggestion is worse than a missing one), never surfaced with an error; requires name + output_column + calculation_intent or the whole suggestion is dropped; output_column is slugified (non-word characters -&gt; underscore) before storage; a suggestion whose output_column already exists in the repository is skipped so re-running suggestions doesn't pile up duplicates.</t>
        </is>
      </c>
    </row>
    <row r="90" ht="35" customHeight="1">
      <c r="A90" s="68" t="inlineStr">
        <is>
          <t>Input JSON</t>
        </is>
      </c>
      <c r="B90" s="69" t="inlineStr">
        <is>
          <t>Column metadata for every column in the dataframe (name, dtype, sample values).</t>
        </is>
      </c>
    </row>
    <row r="91" ht="85" customHeight="1">
      <c r="A91" s="68" t="inlineStr">
        <is>
          <t>Output JSON</t>
        </is>
      </c>
      <c r="B91" s="69" t="inlineStr">
        <is>
          <t>{"suggestions": [
  {"name": "Time in Transit", "description": "Hours between departure and arrival scans.",
   "output_column": "time_in_transit_hours",
   "calculation_intent": "Difference between Arrival Date and Departure Date, in hours.",
   "input_columns": ["Departure Date", "Arrival Date"]}
]}  (up to 5)</t>
        </is>
      </c>
    </row>
    <row r="92">
      <c r="A92" s="70" t="n"/>
      <c r="B92" s="70" t="n"/>
    </row>
    <row r="93" ht="36" customHeight="1">
      <c r="A93" s="31" t="inlineStr">
        <is>
          <t>15. [Feature Engineering -- current code] User-Requested Feature (routers/features.py: add_custom_feature())   --   no LLM call</t>
        </is>
      </c>
    </row>
    <row r="94" ht="35" customHeight="1">
      <c r="A94" s="68" t="inlineStr">
        <is>
          <t>System Prompt</t>
        </is>
      </c>
      <c r="B94" s="71" t="inlineStr">
        <is>
          <t>N/A -- no LLM call. Deterministic intake: feature_repository.py: add_custom_entry().</t>
        </is>
      </c>
    </row>
    <row r="95" ht="35" customHeight="1">
      <c r="A95" s="68" t="inlineStr">
        <is>
          <t>User Prompt Template</t>
        </is>
      </c>
      <c r="B95" s="71" t="inlineStr">
        <is>
          <t>N/A</t>
        </is>
      </c>
    </row>
    <row r="96" ht="72.5" customHeight="1">
      <c r="A96" s="68" t="inlineStr">
        <is>
          <t>Where it's used</t>
        </is>
      </c>
      <c r="B96" s="69" t="inlineStr">
        <is>
          <t>Features page: the PM types a KPI name + description + plain-English calculation intent + optional input columns, POST /api/features/repository/{session_id}/custom. Stored immediately with source='custom', status='approved', formula=null. Its actual plan is only thought up later, at compute time, by Generate Feature Formula / Spec's ai_generated path or Write Feature Code's Think step (feature_agent.think()), if and when this feature is computed.</t>
        </is>
      </c>
    </row>
    <row r="97" ht="60" customHeight="1">
      <c r="A97" s="68" t="inlineStr">
        <is>
          <t>Guardrails</t>
        </is>
      </c>
      <c r="B97" s="69" t="inlineStr">
        <is>
          <t>name and calculation_intent are required -- a 422 error is returned (before anything is stored) if either is blank; output_column is auto-slugified from the name; matches this workbook's own Diagram Notes: 'this does NOT skip the LLM' overall -- the LLM step just happens later, at compute time, not at request time.</t>
        </is>
      </c>
    </row>
    <row r="98" ht="47.5" customHeight="1">
      <c r="A98" s="68" t="inlineStr">
        <is>
          <t>Input JSON</t>
        </is>
      </c>
      <c r="B98" s="69" t="inlineStr">
        <is>
          <t>{"name": "Time in Transit", "description": "",
 "calculation_intent": "Hours between departure and arrival",
 "input_columns": ["Departure Date", "Arrival Date"]}</t>
        </is>
      </c>
    </row>
    <row r="99" ht="85" customHeight="1">
      <c r="A99" s="68" t="inlineStr">
        <is>
          <t>Output JSON</t>
        </is>
      </c>
      <c r="B99" s="69" t="inlineStr">
        <is>
          <t>Success: {"id": "custom_a1b2c3d4", "source": "custom", "status": "approved",
 "name": "Time in Transit", "description": "Hours between departure and arrival",
 "output_column": "time_in_transit", "calculation_intent": "Hours between departure and arrival",
 "input_columns": ["Departure Date", "Arrival Date"], "formula": null}
Error (422): {"detail": "Give the KPI a name."}</t>
        </is>
      </c>
    </row>
    <row r="100">
      <c r="A100" s="70" t="n"/>
      <c r="B100" s="70" t="n"/>
    </row>
    <row r="101" ht="36" customHeight="1">
      <c r="A101" s="31" t="inlineStr">
        <is>
          <t>16. [Feature Engineering -- current code] Generate Feature Formula / Spec (feature_definitions_store.py: validate())   --   no LLM call</t>
        </is>
      </c>
    </row>
    <row r="102" ht="35" customHeight="1">
      <c r="A102" s="68" t="inlineStr">
        <is>
          <t>System Prompt</t>
        </is>
      </c>
      <c r="B102" s="71" t="inlineStr">
        <is>
          <t>N/A -- no LLM call. Deterministic file-upload schema validation against SUPPORTED_TYPES.</t>
        </is>
      </c>
    </row>
    <row r="103" ht="35" customHeight="1">
      <c r="A103" s="68" t="inlineStr">
        <is>
          <t>User Prompt Template</t>
        </is>
      </c>
      <c r="B103" s="71" t="inlineStr">
        <is>
          <t>N/A</t>
        </is>
      </c>
    </row>
    <row r="104" ht="97.5" customHeight="1">
      <c r="A104" s="68" t="inlineStr">
        <is>
          <t>Where it's used</t>
        </is>
      </c>
      <c r="B104" s="69" t="inlineStr">
        <is>
          <t>Features page: uploading a 'Customer KPI Profile' JSON file, POST /api/features/definitions. Every spec becomes a repository entry with source='predefined', status='approved'. For the 5 deterministic types (lookup/extract_month/ratio/duration_hours/custom_formula) the formula field is filled in immediately by code (_describe_predefined()) -- no LLM involved. For 'ai_generated' the formula stays null; its calculation_prompt is carried forward as calculation_intent, and Write Feature Code's Think step (feature_agent.think()) drafts an actual plan only when this feature is computed.</t>
        </is>
      </c>
    </row>
    <row r="105" ht="60" customHeight="1">
      <c r="A105" s="68" t="inlineStr">
        <is>
          <t>Guardrails</t>
        </is>
      </c>
      <c r="B105" s="69" t="inlineStr">
        <is>
          <t>Every spec must have id/name/description/output_column/type, plus type-specific required fields (e.g. ratio needs numerator_columns + denominator_columns); any spec missing a required field or using an unsupported type raises a 422 naming the exact missing field(s), before any entry is created -- nothing partial gets stored.</t>
        </is>
      </c>
    </row>
    <row r="106" ht="60" customHeight="1">
      <c r="A106" s="68" t="inlineStr">
        <is>
          <t>Input JSON</t>
        </is>
      </c>
      <c r="B106" s="69" t="inlineStr">
        <is>
          <t>{"features": [{"id": "pct_in_spec", "name": "% In Spec",
 "description": "Share of transit time within temperature spec.",
 "output_column": "% In Spec", "type": "ratio",
 "numerator_columns": ["Minutes In Spec"], "denominator_columns": ["Total Transit Minutes"]}]}</t>
        </is>
      </c>
    </row>
    <row r="107" ht="72.5" customHeight="1">
      <c r="A107" s="68" t="inlineStr">
        <is>
          <t>Output JSON</t>
        </is>
      </c>
      <c r="B107" s="69" t="inlineStr">
        <is>
          <t>Deterministic type (ratio here) -&gt; formula is derived in code, no LLM:
  "Compute (sum of Minutes In Spec) divided by (sum of Total Transit Minutes), times 100, as a percentage. Leave it blank where the denominator is 0."
ai_generated type would instead keep formula null and carry calculation_prompt forward as calculation_intent for the Think step to draft a plan at compute time.</t>
        </is>
      </c>
    </row>
    <row r="109" ht="36" customHeight="1">
      <c r="A109" s="31" t="inlineStr">
        <is>
          <t>17. [Feature Engineering -- current code] Write Feature Code (feature_agent.py: generate_code())   --   chat_text()  -&gt;  Python code</t>
        </is>
      </c>
    </row>
    <row r="110" ht="397.5" customHeight="1">
      <c r="A110" s="68" t="inlineStr">
        <is>
          <t>System Prompt</t>
        </is>
      </c>
      <c r="B110" s="69" t="inlineStr">
        <is>
          <t>You are the code-writing step of the Feature Agent. You are given a plan (already decided -- do not second-guess it) for computing one new column. A pandas DataFrame is already available as `df`, and `pandas` is already available as `pd`.
Write vectorized pandas code (no explicit for/while loops, no function or class definitions, no imports) that implements EXACTLY the given plan and assigns the final result -- a pandas Series with exactly one value per row of `df`, aligned to `df.index` -- to a variable named exactly `result`.
Rules:
- Only reference columns that actually appear in the column list given below.
- Never read or write files, never use eval/exec/open, never import anything, never call any to_csv/to_excel/read_csv/etc-style I/O method.
- `result` must be assigned directly from a Series expression (e.g. `result = some_series`, or `result = df["x"] - df["y"]`). NEVER index `df` with a list, array, or Series of the VALUES you just computed (e.g. `df[computed_values]` or `df.loc[:, computed_values]`) -- that treats those numbers as column names and always fails with a "Columns not found" error. If you need to assign a computed Series as a new column first, use `df["some_new_name"] = computed_values` (a plain string literal key), then set `result = df["some_new_name"]`.
- If the output is a boolean/flag column, its NAME tells you which direction True means -- e.g. a "compliance flag" or "is_in_spec" column must be True when the row IS compliant / within limits, never when it's out of spec, even if the plan's wording could be read either way. Before finalizing a boolean comparison, re-read the output column name and check your comparison produces True for the GOOD/matching case it names, not the opposite. Getting a flag's direction backwards is the single most common mistake here -- double-check it explicitly.
- If the plan describes a value that's the same for every row sharing a group (a per-group average, rate, or count), you MUST compute it with `.groupby([group_cols])[...].transform(...)` (or an equivalent merge/map back to every row of that group) -- never compute it per-row or with a row-by-row conditional, which produces different values within what should be one identical group value.
- Respond with ONLY the Python code. No markdown fences, no explanation, no comments.</t>
        </is>
      </c>
    </row>
    <row r="111" ht="60" customHeight="1">
      <c r="A111" s="68" t="inlineStr">
        <is>
          <t>User Prompt Template</t>
        </is>
      </c>
      <c r="B111" s="69" t="inlineStr">
        <is>
          <t>f"Plan to implement:\n{plan['plan']}\n\n"
f"Output column name: {entry['output_column']}\n\n"
f"Columns available in `df`:\n{columns_block}{feedback_block}\n\n"
"Write the code now."</t>
        </is>
      </c>
    </row>
    <row r="112" ht="47.5" customHeight="1">
      <c r="A112" s="68" t="inlineStr">
        <is>
          <t>Where it's used</t>
        </is>
      </c>
      <c r="B112" s="69" t="inlineStr">
        <is>
          <t>Call 2 of the Feature Agent's Think -&gt; Write Code -&gt; Validate loop, run for every feature computation (compute_feature()) right after a plan exists -- whether that plan came fresh from Think or was a pre-approved formula (Planner-drafted or predefined).</t>
        </is>
      </c>
    </row>
    <row r="113" ht="85" customHeight="1">
      <c r="A113" s="68" t="inlineStr">
        <is>
          <t>Guardrails</t>
        </is>
      </c>
      <c r="B113" s="69" t="inlineStr">
        <is>
          <t>Vectorized pandas only -- no loops, no function/class defs, no imports; must assign a pandas.Series (one value per row) to `result`; blocked from file I/O, eval/exec/open; explicit warning against backwards boolean flags (a 'compliance flag' must be True for the compliant case) and against computing a per-group value row-by-row instead of with .transform(); code is never trusted at face value -- it runs through the same AST-sandboxed executor as the Analysis Agent (ai_code_executor.py) before its output is even looked at.</t>
        </is>
      </c>
    </row>
    <row r="114" ht="47.5" customHeight="1">
      <c r="A114" s="68" t="inlineStr">
        <is>
          <t>Input JSON</t>
        </is>
      </c>
      <c r="B114" s="69" t="inlineStr">
        <is>
          <t>{"plan": "1. Compute Arrival Date minus Departure Date.\n2. Convert the timedelta to hours.",
 "output_column": "time_in_transit_hours",
 "columns_catalog": Column metadata (name, dtype), "feedback": null}</t>
        </is>
      </c>
    </row>
    <row r="115" ht="60" customHeight="1">
      <c r="A115" s="68" t="inlineStr">
        <is>
          <t>Output JSON</t>
        </is>
      </c>
      <c r="B115" s="69" t="inlineStr">
        <is>
          <t>Raw Python source (not JSON), e.g.:
  result = (df['Arrival Date'] - df['Departure Date']).dt.total_seconds() / 3600
Validated by ai_code_executor.run_generated_code(): must be a pandas.Series with len(df) values, else rejected and fed back as retry feedback.</t>
        </is>
      </c>
    </row>
    <row r="117" ht="36" customHeight="1">
      <c r="A117" s="31" t="inlineStr">
        <is>
          <t>18. [Analysis -- current code] AI Analysis Suggestion (analysis_suggester.py: suggest_analyses())   --   chat_json()  -&gt;  JSON object</t>
        </is>
      </c>
    </row>
    <row r="118" ht="247.5" customHeight="1">
      <c r="A118" s="68" t="inlineStr">
        <is>
          <t>System Prompt</t>
        </is>
      </c>
      <c r="B118" s="69" t="inlineStr">
        <is>
          <t>You are a data analyst proposing new chart-worthy analyses for an operational cold-chain shipment dataset, to help a program manager spot trends and outliers. You'll be given the current column names, dtypes, and a few sample values per column.
Propose up to 5 NEW analysis ideas that would be genuinely useful for cold-chain reporting (e.g. shipments by carrier, temperature excursions over time, top origins by volume, compliance rate by lane). Every suggestion MUST reference only columns that appear in the given column list -- never invent a column name.
Respond with ONLY a JSON object of this exact shape, no markdown, no commentary:
{"suggestions": [
  {
    "name": "short title, e.g. 'Shipments by Carrier'",
    "description": "one plain-English sentence on why this is useful",
    "calculation_intent": "a precise, unambiguous plain-English description of exactly what to group/aggregate from the columns below",
    "input_columns": ["exact column name(s) this analysis reads"]
  }
]}</t>
        </is>
      </c>
    </row>
    <row r="119" ht="35" customHeight="1">
      <c r="A119" s="68" t="inlineStr">
        <is>
          <t>User Prompt Template</t>
        </is>
      </c>
      <c r="B119" s="69" t="inlineStr">
        <is>
          <t>f"Columns:\n{_columns_block(df)}\n\nPropose the analyses now."</t>
        </is>
      </c>
    </row>
    <row r="120" ht="47.5" customHeight="1">
      <c r="A120" s="68" t="inlineStr">
        <is>
          <t>Where it's used</t>
        </is>
      </c>
      <c r="B120" s="69" t="inlineStr">
        <is>
          <t>Analysis page 'Suggest Analyses' button -&gt; POST .../suggest -&gt; analysis_suggester.suggest_analyses(). New suggestions land with source='ai_suggested', status='pending', awaiting PM accept/reject.</t>
        </is>
      </c>
    </row>
    <row r="121" ht="60" customHeight="1">
      <c r="A121" s="68" t="inlineStr">
        <is>
          <t>Guardrails</t>
        </is>
      </c>
      <c r="B121" s="69" t="inlineStr">
        <is>
          <t>Must reference only real columns -- a hallucinated column name gets the whole suggestion dropped silently, never surfaced broken; requires name + calculation_intent or dropped; input_columns must be a subset of the dataframe's actual columns, checked again in code (not just trusted from the prompt).</t>
        </is>
      </c>
    </row>
    <row r="122" ht="35" customHeight="1">
      <c r="A122" s="68" t="inlineStr">
        <is>
          <t>Input JSON</t>
        </is>
      </c>
      <c r="B122" s="69" t="inlineStr">
        <is>
          <t>Column metadata for every column in the dataframe (name, dtype, sample values).</t>
        </is>
      </c>
    </row>
    <row r="123" ht="97.5" customHeight="1">
      <c r="A123" s="68" t="inlineStr">
        <is>
          <t>Output JSON</t>
        </is>
      </c>
      <c r="B123" s="69" t="inlineStr">
        <is>
          <t>{"suggestions": [
  {"name": "Carrier Compliance Ranking",
   "description": "Ranks carriers by average % In Spec and shipment volume.",
   "calculation_intent": "Group by Carrier; compute mean of % In Spec and count of Serial Number.",
   "input_columns": ["Carrier", "% In Spec", "Serial Number"]}
]}</t>
        </is>
      </c>
    </row>
    <row r="125" ht="36" customHeight="1">
      <c r="A125" s="31" t="inlineStr">
        <is>
          <t>19. [Analysis -- current code] User-Requested Analysis (analysis_agent.py: think())   --   chat_json()  -&gt;  JSON object</t>
        </is>
      </c>
    </row>
    <row r="126" ht="297.5" customHeight="1">
      <c r="A126" s="68" t="inlineStr">
        <is>
          <t>System Prompt</t>
        </is>
      </c>
      <c r="B126" s="69" t="inlineStr">
        <is>
          <t>You are the planning step of the Analysis Agent for a cold-chain shipment analytics tool. You are given one requested analysis and the full column catalog of the current dataset. Produce a precise, unambiguous, step-by-step plan for computing an AGGREGATED TABLE that a chart can be built from -- e.g. a group-by with one or more metrics, a time trend, a ranking, or a distribution. This is NOT a per-row calculation like a feature column; the output table almost always has FEWER rows than the source data.
The plan MUST:
- Name the EXACT column(s) from the catalog it uses. Never invent a column name that isn't in the catalog.
- State what to group by (if anything) and what metric(s) to aggregate (sum, mean, count, min, max, median, distinct count, or share of total).
- State how nulls / missing values are handled.
- Be specific enough that a pandas engineer could implement it without asking a follow-up question.
- If the requested analysis genuinely cannot be computed from the available columns, say so plainly in the plan instead of inventing a substitute.
Respond with ONLY a JSON object, no markdown, no commentary. `steps` is an array of short, self-contained instructions, each written as its own sentence with no leading number -- the caller numbers them for display:
{"steps": ["first step", "second step", "..."], "group_by": ["exact column names, or [] if none"], "metrics": ["short description of each aggregated metric"]}</t>
        </is>
      </c>
    </row>
    <row r="127" ht="110" customHeight="1">
      <c r="A127" s="68" t="inlineStr">
        <is>
          <t>User Prompt Template</t>
        </is>
      </c>
      <c r="B127" s="69" t="inlineStr">
        <is>
          <t>f"Analysis name: {entry['name']}\nDescription: {entry.get('description', '')}\nCalculation intent: {entry['calculation_intent']}"
+ f"\nColumns likely involved (hint, not exhaustive): {', '.join(entry['input_columns'])}" (only if given)
+ f"\n\nCOLUMN CATALOG:\n{columns_block}"
+ f"\n\nA PREVIOUS ATTEMPT FAILED: {feedback}\nRevise the plan so this doesn't happen again." (only on retry)
+ f"\n\nProduce the plan now."</t>
        </is>
      </c>
    </row>
    <row r="128" ht="60" customHeight="1">
      <c r="A128" s="68" t="inlineStr">
        <is>
          <t>Where it's used</t>
        </is>
      </c>
      <c r="B128" s="69" t="inlineStr">
        <is>
          <t>One function, three entry points: (1) a PM's custom-typed analysis, computed on demand via analysis_engine.run_analysis; (2) Planner-Suggested Analysis's generated_formula pre-generation step, run right after the PM approves a Planner recommendation; (3) the Think half of AI Drafts a Formula/Spec's Think-&gt;Code loop, for any analysis with no pre-set formula.</t>
        </is>
      </c>
    </row>
    <row r="129" ht="72.5" customHeight="1">
      <c r="A129" s="68" t="inlineStr">
        <is>
          <t>Guardrails</t>
        </is>
      </c>
      <c r="B129" s="69" t="inlineStr">
        <is>
          <t>Must name only real columns from the catalog -- never invent one; must state null-handling explicitly; must say plainly if the analysis can't be computed rather than substituting something else; on a retry, the previous failure reason is appended so the plan is revised, not repeated; the plan text alone is never trusted -- it only becomes a chart once Write Code, Choose Chart Type, and Generate Chart Spec all succeed against it.</t>
        </is>
      </c>
    </row>
    <row r="130" ht="72.5" customHeight="1">
      <c r="A130" s="68" t="inlineStr">
        <is>
          <t>Input JSON</t>
        </is>
      </c>
      <c r="B130" s="69" t="inlineStr">
        <is>
          <t>{"name": "Carrier On-Time Rate - Chile Q1", "description": "",
 "calculation_intent": "Which carrier has the worst on-time delivery rate for reefer shipments from Chile in Q1?",
 "input_columns": ["Carrier", "Origin", "Arrival Month", "On Time Flag"],
 "columns_catalog": Column metadata (name, dtype, sample values), "feedback": null}</t>
        </is>
      </c>
    </row>
    <row r="131" ht="85" customHeight="1">
      <c r="A131" s="68" t="inlineStr">
        <is>
          <t>Output JSON</t>
        </is>
      </c>
      <c r="B131" s="69" t="inlineStr">
        <is>
          <t>{"steps": [
   "Filter rows where Origin == 'Chile' and Arrival Month in ['Jan','Feb','Mar']",
   "Group by Carrier", "Compute mean of On Time Flag as On-Time Rate",
   "Sort ascending by On-Time Rate"],
 "group_by": ["Carrier"], "metrics": ["mean(On Time Flag) as On-Time Rate"],
 "plan": "1. Filter rows where Origin == 'Chile'...\n2. Group by Carrier...\n3. ..."}</t>
        </is>
      </c>
    </row>
    <row r="133" ht="36" customHeight="1">
      <c r="A133" s="31" t="inlineStr">
        <is>
          <t>20a. [Analysis -- current code] Chart Suggestion: Choose Chart Type (analysis_agent.py: choose_chart_type())   --   chat_json()  -&gt;  JSON object</t>
        </is>
      </c>
    </row>
    <row r="134" ht="210" customHeight="1">
      <c r="A134" s="68" t="inlineStr">
        <is>
          <t>System Prompt</t>
        </is>
      </c>
      <c r="B134" s="69" t="inlineStr">
        <is>
          <t>You are the chart-selection step of the Analysis Agent. You are given the plan that was implemented and a sample of the actual computed table. Choose the single best Plotly chart type for this table.
Guidance:
- "bar": one category column + one metric -- rankings, comparisons.
- "grouped_bar": two category columns + one or two metrics.
- "line": a time/ordered column + one or more metrics -- trends.
- "pie": one category column + one metric, few categories (&lt;=8), shares of a whole.
- "scatter": two numeric metrics, no meaningful category grouping.
- "heatmap": two category columns + one numeric metric, many combinations.
- "table": nothing above fits well (too many dimensions, or purely textual).
Respond with ONLY a JSON object, no markdown, no commentary:
{"chart_type": "bar | grouped_bar | line | pie | scatter | heatmap | table", "reason": "one short sentence"}</t>
        </is>
      </c>
    </row>
    <row r="135" ht="35" customHeight="1">
      <c r="A135" s="68" t="inlineStr">
        <is>
          <t>User Prompt Template</t>
        </is>
      </c>
      <c r="B135" s="69" t="inlineStr">
        <is>
          <t>f"Analysis: {entry['name']}\nPlan:\n{plan['plan']}\n\nComputed table sample:\n{table_sample}\n\nChoose the chart type now."</t>
        </is>
      </c>
    </row>
    <row r="136" ht="47.5" customHeight="1">
      <c r="A136" s="68" t="inlineStr">
        <is>
          <t>Where it's used</t>
        </is>
      </c>
      <c r="B136" s="69" t="inlineStr">
        <is>
          <t>Runs immediately after an analysis's table is successfully computed (Think -&gt; Code -&gt; validated table), inside the same computation flow -- never triggered separately (no 'change chart type after the fact' feature exists in the current UI).</t>
        </is>
      </c>
    </row>
    <row r="137" ht="35" customHeight="1">
      <c r="A137" s="68" t="inlineStr">
        <is>
          <t>Guardrails</t>
        </is>
      </c>
      <c r="B137" s="69" t="inlineStr">
        <is>
          <t>Output constrained to exactly 7 allowed types via _ALLOWED_CHART_TYPES; anything else returned is forced to 'table' rather than trusted.</t>
        </is>
      </c>
    </row>
    <row r="138" ht="72.5" customHeight="1">
      <c r="A138" s="68" t="inlineStr">
        <is>
          <t>Input JSON</t>
        </is>
      </c>
      <c r="B138" s="69" t="inlineStr">
        <is>
          <t>{"analysis_name": "Carrier Compliance Ranking",
 "plan": "1. Group by Carrier.\n2. Compute mean of % In Spec.\n3. Compute count of Serial Number.\n4. Sort descending by shipment count.",
 "table_sample": [{"Carrier": "TransCold", "% In Spec": 96.4, "# Transporte": 412},
                  {"Carrier": "IceLine", "% In Spec": 89.1, "# Transporte": 355}]}</t>
        </is>
      </c>
    </row>
    <row r="139" ht="35" customHeight="1">
      <c r="A139" s="68" t="inlineStr">
        <is>
          <t>Output JSON</t>
        </is>
      </c>
      <c r="B139" s="69" t="inlineStr">
        <is>
          <t>{"chart_type": "grouped_bar",
 "reason": "Two metrics across the same categories compare best as grouped bars."}</t>
        </is>
      </c>
    </row>
    <row r="141" ht="36" customHeight="1">
      <c r="A141" s="31" t="inlineStr">
        <is>
          <t>20b. [Analysis -- current code] Chart Suggestion: Generate Chart Spec (analysis_agent.py: generate_chart_spec())   --   chat_json()  -&gt;  JSON object</t>
        </is>
      </c>
    </row>
    <row r="142" ht="235" customHeight="1">
      <c r="A142" s="68" t="inlineStr">
        <is>
          <t>System Prompt</t>
        </is>
      </c>
      <c r="B142" s="69" t="inlineStr">
        <is>
          <t>You are the chart-authoring step of the Analysis Agent. You are given a computed table sample and the chart type already chosen for it. Produce a Plotly.js figure spec -- a JSON object with "data" (a list of Plotly trace objects) and "layout" (a Plotly layout object) -- that renders this table as that chart type, using the REAL column names and REAL values from the sample (not placeholders).
Rules:
- Every trace's "type" must be one of: bar, scatter, pie, heatmap, box.
- A "line" chart type means a scatter trace with "mode": "lines" (or "lines+markers").
- A "grouped_bar" chart type means two or more bar traces sharing the same x values, with layout.barmode = "group".
- Keep "layout" minimal: at most title, xaxis.title, yaxis.title, barmode. Do not set colors, fonts, or sizing -- the frontend applies its own theme.
- If the chart type is "table", still return your best-effort bar chart of the first category + first numeric metric rather than an empty spec.
Respond with ONLY a JSON object, no markdown, no commentary, shaped exactly {"data": [...], "layout": {...}}.</t>
        </is>
      </c>
    </row>
    <row r="143" ht="35" customHeight="1">
      <c r="A143" s="68" t="inlineStr">
        <is>
          <t>User Prompt Template</t>
        </is>
      </c>
      <c r="B143" s="69" t="inlineStr">
        <is>
          <t>f"Analysis: {entry['name']}\nPlan:\n{plan['plan']}\n\nChosen chart type: {chart_type}\n\nComputed table sample:\n{table_sample}\n\nProduce the chart spec now."</t>
        </is>
      </c>
    </row>
    <row r="144" ht="35" customHeight="1">
      <c r="A144" s="68" t="inlineStr">
        <is>
          <t>Where it's used</t>
        </is>
      </c>
      <c r="B144" s="69" t="inlineStr">
        <is>
          <t>Immediately follows Choose Chart Type in the same run, using its chart_type output as input.</t>
        </is>
      </c>
    </row>
    <row r="145" ht="85" customHeight="1">
      <c r="A145" s="68" t="inlineStr">
        <is>
          <t>Guardrails</t>
        </is>
      </c>
      <c r="B145" s="69" t="inlineStr">
        <is>
          <t>The most heavily fenced call in the pipeline: _validate_and_sanitize_chart_spec() requires data/layout in the right shape; every trace is checked (xy traces need equal-length numeric x/y; pie needs equal-length labels/numeric values; heatmap needs a non-empty 2D z) and a malformed trace raises ChartSpecError; _sanitize_layout() strips layout down to only title/barmode and xaxis/yaxis down to only title -- width, height, margin, colors, axis ranges are discarded even if the model returns them.</t>
        </is>
      </c>
    </row>
    <row r="146" ht="60" customHeight="1">
      <c r="A146" s="68" t="inlineStr">
        <is>
          <t>Input JSON</t>
        </is>
      </c>
      <c r="B146" s="69" t="inlineStr">
        <is>
          <t>{"analysis_name": "Carrier Compliance Ranking", "plan": "...(same plan as above)...",
 "chosen_chart_type": "grouped_bar",
 "table_sample": [{"Carrier": "TransCold", "% In Spec": 96.4, "# Transporte": 412},
                  {"Carrier": "IceLine", "% In Spec": 89.1, "# Transporte": 355}]}</t>
        </is>
      </c>
    </row>
    <row r="147" ht="72.5" customHeight="1">
      <c r="A147" s="68" t="inlineStr">
        <is>
          <t>Output JSON</t>
        </is>
      </c>
      <c r="B147" s="69" t="inlineStr">
        <is>
          <t>{"data": [
   {"type": "bar", "x": ["TransCold","IceLine"], "y": [96.4,89.1], "name": "% In Spec"},
   {"type": "bar", "x": ["TransCold","IceLine"], "y": [412,355], "name": "# Transporte"}],
 "layout": {"title": "Carrier Compliance Ranking", "barmode": "group",
   "xaxis": {"title": "Carrier"}, "yaxis": {"title": "Value"}}}</t>
        </is>
      </c>
    </row>
    <row r="149" ht="36" customHeight="1">
      <c r="A149" s="31" t="inlineStr">
        <is>
          <t>21. [Analysis -- current code] AI Drafts Formula / Spec (analysis_agent.py: think() + generate_code())   --   chat_json() then chat_text()</t>
        </is>
      </c>
    </row>
    <row r="150" ht="297.5" customHeight="1">
      <c r="A150" s="68" t="inlineStr">
        <is>
          <t>System Prompt</t>
        </is>
      </c>
      <c r="B150" s="69" t="inlineStr">
        <is>
          <t>Think stage: same _THINK_SYSTEM as User-Requested Analysis (entry 19 above).
Code stage (_CODE_SYSTEM):
You are the code-writing step of the Analysis Agent. You are given a plan (already decided -- do not second-guess it) for computing an AGGREGATED table for a chart. A pandas DataFrame is already available as `df`, and `pandas` is already available as `pd`.
Write vectorized pandas code (no explicit for/while loops, no function or class definitions, no imports) that implements EXACTLY the given plan and assigns the final result -- a pandas DataFrame, one row per group/category/time-bucket, with plain column names describing what each column holds -- to a variable named exactly `result`.
Rules:
- Only reference columns that actually appear in the column list given below.
- Never read or write files, never use eval/exec/open, never import anything, never call any to_csv/to_excel/read_csv/etc-style I/O method.
- `result` must end up as a DataFrame with a plain RangeIndex (call `.reset_index()` after any groupby before assigning to `result`), so every grouping column and every metric appears as its own named column.
- Cap the result at a reasonable number of rows for a chart (e.g. sort and `.head(50)` for a ranking) rather than returning every group unsorted.
- Round float columns to 2 decimal places for a clean chart.
- Respond with ONLY the Python code. No markdown fences, no explanation, no comments.</t>
        </is>
      </c>
    </row>
    <row r="151" ht="85" customHeight="1">
      <c r="A151" s="68" t="inlineStr">
        <is>
          <t>User Prompt Template</t>
        </is>
      </c>
      <c r="B151" s="69" t="inlineStr">
        <is>
          <t>Think stage: same as entry 19.
Code stage:
f"Plan to implement:\n{plan['plan']}\n\n"
f"Columns available in `df`:\n{columns_block}{feedback_block}\n\n"
"Write the code now."</t>
        </is>
      </c>
    </row>
    <row r="152" ht="47.5" customHeight="1">
      <c r="A152" s="68" t="inlineStr">
        <is>
          <t>Where it's used</t>
        </is>
      </c>
      <c r="B152" s="69" t="inlineStr">
        <is>
          <t>The Think-&gt;Code loop inside compute_analysis() -&gt; _compute_with_generated_plan(), for any analysis with no pre-set formula. Retries up to 3 times: code-only retries first (same plan, feedback appended), then one last-resort full re-think on the final attempt.</t>
        </is>
      </c>
    </row>
    <row r="153" ht="72.5" customHeight="1">
      <c r="A153" s="68" t="inlineStr">
        <is>
          <t>Guardrails</t>
        </is>
      </c>
      <c r="B153" s="69" t="inlineStr">
        <is>
          <t>Think: names only real columns, states null-handling, never invents a substitute. Code: vectorized pandas only, no loops/imports/file-I/O; result must be a DataFrame with a plain RangeIndex; capped at a reasonable row count for a chart; floats rounded to 2dp; runs through the AST-sandboxed executor before being trusted -- 'expressible + validated' means it survived that sandboxed run, not a JSON schema check.</t>
        </is>
      </c>
    </row>
    <row r="154" ht="60" customHeight="1">
      <c r="A154" s="68" t="inlineStr">
        <is>
          <t>Input JSON</t>
        </is>
      </c>
      <c r="B154" s="69" t="inlineStr">
        <is>
          <t>Think: see entry 19.
Code: {"plan": "1. Group by Carrier.\n2. Compute mean of % In Spec.\n3. Compute count of Serial Number.",
 "columns_catalog": Column metadata (name, dtype), "feedback": null}</t>
        </is>
      </c>
    </row>
    <row r="155" ht="72.5" customHeight="1">
      <c r="A155" s="68" t="inlineStr">
        <is>
          <t>Output JSON</t>
        </is>
      </c>
      <c r="B155" s="69" t="inlineStr">
        <is>
          <t>Think: see entry 19.
Code: raw Python source (not JSON), e.g.
  result = df.groupby('Carrier').agg(**{'% In Spec': ('% In Spec','mean'),
    '# Transporte': ('Serial Number','count')}).reset_index().sort_values('# Transporte', ascending=False)</t>
        </is>
      </c>
    </row>
    <row r="157" ht="36" customHeight="1">
      <c r="A157" s="31" t="inlineStr">
        <is>
          <t>22. [Feature Engineering + Analysis -- current code] Write Custom Python (analysis_agent.py / feature_agent.py: generate_code())   --   chat_text()  -&gt;  Python code</t>
        </is>
      </c>
    </row>
    <row r="158" ht="710" customHeight="1">
      <c r="A158" s="68" t="inlineStr">
        <is>
          <t>System Prompt</t>
        </is>
      </c>
      <c r="B158" s="69" t="inlineStr">
        <is>
          <t>Analysis variant (table contract) -- same _CODE_SYSTEM as AI Drafts Formula/Spec's Code stage (entry 21):
You are the code-writing step of the Analysis Agent. You are given a plan (already decided -- do not second-guess it) for computing an AGGREGATED table for a chart. A pandas DataFrame is already available as `df`, and `pandas` is already available as `pd`.
Write vectorized pandas code (no explicit for/while loops, no function or class definitions, no imports) that implements EXACTLY the given plan and assigns the final result -- a pandas DataFrame, one row per group/category/time-bucket, with plain column names describing what each column holds -- to a variable named exactly `result`.
Rules:
- Only reference columns that actually appear in the column list given below.
- Never read or write files, never use eval/exec/open, never import anything, never call any to_csv/to_excel/read_csv/etc-style I/O method.
- `result` must end up as a DataFrame with a plain RangeIndex (call `.reset_index()` after any groupby before assigning to `result`), so every grouping column and every metric appears as its own named column.
- Cap the result at a reasonable number of rows for a chart (e.g. sort and `.head(50)` for a ranking) rather than returning every group unsorted.
- Round float columns to 2 decimal places for a clean chart.
- Respond with ONLY the Python code. No markdown fences, no explanation, no comments.
Feature variant (per-row Series contract) -- same _CODE_SYSTEM as Write Feature Code (entry 17):
You are the code-writing step of the Feature Agent. You are given a plan (already decided -- do not second-guess it) for computing one new column. A pandas DataFrame is already available as `df`, and `pandas` is already available as `pd`.
Write vectorized pandas code (no explicit for/while loops, no function or class definitions, no imports) that implements EXACTLY the given plan and assigns the final result -- a pandas Series with exactly one value per row of `df`, aligned to `df.index` -- to a variable named exactly `result`.
Rules:
- Only reference columns that actually appear in the column list given below.
- Never read or write files, never use eval/exec/open, never import anything, never call any to_csv/to_excel/read_csv/etc-style I/O method.
- `result` must be assigned directly from a Series expression (e.g. `result = some_series`, or `result = df["x"] - df["y"]`). NEVER index `df` with a list, array, or Series of the VALUES you just computed (e.g. `df[computed_values]` or `df.loc[:, computed_values]`) -- that treats those numbers as column names and always fails with a "Columns not found" error. If you need to assign a computed Series as a new column first, use `df["some_new_name"] = computed_values` (a plain string literal key), then set `result = df["some_new_name"]`.
- If the output is a boolean/flag column, its NAME tells you which direction True means -- e.g. a "compliance flag" or "is_in_spec" column must be True when the row IS compliant / within limits, never when it's out of spec, even if the plan's wording could be read either way. Before finalizing a boolean comparison, re-read the output column name and check your comparison produces True for the GOOD/matching case it names, not the opposite. Getting a flag's direction backwards is the single most common mistake here -- double-check it explicitly.
- If the plan describes a value that's the same for every row sharing a group (a per-group average, rate, or count), you MUST compute it with `.groupby([group_cols])[...].transform(...)` (or an equivalent merge/map back to every row of that group) -- never compute it per-row or with a row-by-row conditional, which produces different values within what should be one identical group value.
- Respond with ONLY the Python code. No markdown fences, no explanation, no comments.</t>
        </is>
      </c>
    </row>
    <row r="159" ht="35" customHeight="1">
      <c r="A159" s="68" t="inlineStr">
        <is>
          <t>User Prompt Template</t>
        </is>
      </c>
      <c r="B159" s="69" t="inlineStr">
        <is>
          <t>Analysis variant: same as entry 21's Code stage.
Feature variant: same as entry 17.</t>
        </is>
      </c>
    </row>
    <row r="160" ht="47.5" customHeight="1">
      <c r="A160" s="68" t="inlineStr">
        <is>
          <t>Where it's used</t>
        </is>
      </c>
      <c r="B160" s="69" t="inlineStr">
        <is>
          <t>This is the same underlying function as entries 17 and 21's code stage, not a separate call -- it's listed on its own here because 'Write Custom Python' is really the general capability (table OR per-row series) both of those specific flows are built from.</t>
        </is>
      </c>
    </row>
    <row r="161" ht="72.5" customHeight="1">
      <c r="A161" s="68" t="inlineStr">
        <is>
          <t>Guardrails</t>
        </is>
      </c>
      <c r="B161" s="69" t="inlineStr">
        <is>
          <t>Two possible contracts only: Analysis -- `result` must be a non-empty pandas.DataFrame, returned as rows: array of row objects (capped 500). Feature -- `result` must be a pandas.Series, len == len(df), returned as one value per row. No bare dict/scalar return mode exists in this codebase. Both run through the same AST-sandboxed executor (ai_code_executor.py): blocks imports, loops, def/class, with, eval/exec/open, and a name/attribute blocklist.</t>
        </is>
      </c>
    </row>
    <row r="162" ht="60" customHeight="1">
      <c r="A162" s="68" t="inlineStr">
        <is>
          <t>Input JSON</t>
        </is>
      </c>
      <c r="B162" s="69" t="inlineStr">
        <is>
          <t>{"plan": "1. Compare Peak Temp (C) to 8.\n2. Compare Max Temp Excursion (min) to 30.\n3. Flag rows where both are true.",
 "output_column": "Breach"  (feature variant only),
 "columns_catalog": Column metadata (name, dtype), "feedback": null}</t>
        </is>
      </c>
    </row>
    <row r="163" ht="85" customHeight="1">
      <c r="A163" s="68" t="inlineStr">
        <is>
          <t>Output JSON</t>
        </is>
      </c>
      <c r="B163" s="69" t="inlineStr">
        <is>
          <t>Analysis: result = df.assign(Breach=((df['Peak Temp (C)']&gt;8)&amp;(df['Max Temp Excursion (min)']&gt;30)))
  -&gt; executor returns rows: [{"Carrier": "TransCold", "Peak Temp (C)": 9.1, "Breach": true}, ...]
Feature: result = (df['Peak Temp (C)']&gt;8)&amp;(df['Max Temp Excursion (min)']&gt;30)
  -&gt; executor returns one boolean value per row</t>
        </is>
      </c>
    </row>
    <row r="165" ht="36" customHeight="1">
      <c r="A165" s="31" t="inlineStr">
        <is>
          <t>23. [Analysis -- current code] Chart Interpretation (analysis_agent.py: interpret())   --   chat_text()  -&gt;  plain text</t>
        </is>
      </c>
    </row>
    <row r="166" ht="72.5" customHeight="1">
      <c r="A166" s="68" t="inlineStr">
        <is>
          <t>System Prompt</t>
        </is>
      </c>
      <c r="B166" s="69" t="inlineStr">
        <is>
          <t>You are the interpretation step of the Analysis Agent. You are given one computed analysis table and its chart type. Write a short, plain-English interpretation of what this chart shows -- the standout value(s), any clear pattern, and why it might matter to a program manager. Do NOT invent any number that isn't in the table. Write 2-4 plain sentences, no markdown, no bullet lists.</t>
        </is>
      </c>
    </row>
    <row r="167" ht="35" customHeight="1">
      <c r="A167" s="68" t="inlineStr">
        <is>
          <t>User Prompt Template</t>
        </is>
      </c>
      <c r="B167" s="69" t="inlineStr">
        <is>
          <t>f"Analysis: {entry['name']}\nPlan:\n{plan['plan']}\nChart type: {chart_type}\n\nComputed table sample:\n{table_sample}\n\nWrite the interpretation now."</t>
        </is>
      </c>
    </row>
    <row r="168" ht="35" customHeight="1">
      <c r="A168" s="68" t="inlineStr">
        <is>
          <t>Where it's used</t>
        </is>
      </c>
      <c r="B168" s="69" t="inlineStr">
        <is>
          <t>Call 5, runs automatically right after Chart Suggestion for every successfully computed analysis, inside the same computation flow (finish_computation()).</t>
        </is>
      </c>
    </row>
    <row r="169" ht="47.5" customHeight="1">
      <c r="A169" s="68" t="inlineStr">
        <is>
          <t>Guardrails</t>
        </is>
      </c>
      <c r="B169" s="69" t="inlineStr">
        <is>
          <t>Must not invent any number, name, or value not present in the table; must be exactly 2-4 plain sentences (not 1-2), no markdown/bullets; grounded only in that one chart's own table sample (up to 8 rows) -- structurally cannot reference or mix in another chart's data.</t>
        </is>
      </c>
    </row>
    <row r="170" ht="85" customHeight="1">
      <c r="A170" s="68" t="inlineStr">
        <is>
          <t>Input JSON</t>
        </is>
      </c>
      <c r="B170" s="69" t="inlineStr">
        <is>
          <t>{"analysis_name": "Carrier Compliance Ranking",
 "plan": "1. Group by Carrier.\n2. Compute mean of % In Spec.\n3. Compute count of Serial Number.",
 "chart_type": "grouped_bar",
 "table_sample": [{"Carrier": "TransCold", "% In Spec": 96.4, "# Transporte": 412},
                  {"Carrier": "IceLine", "% In Spec": 89.1, "# Transporte": 355}]}</t>
        </is>
      </c>
    </row>
    <row r="171" ht="60" customHeight="1">
      <c r="A171" s="68" t="inlineStr">
        <is>
          <t>Output JSON</t>
        </is>
      </c>
      <c r="B171" s="69" t="inlineStr">
        <is>
          <t>Plain text string, e.g.:
"TransCold leads compliance at 96.4% In Spec while also handling the highest shipment volume. IceLine lags well behind at 89.1% despite comparable volume, making it the primary compliance risk to address first."</t>
        </is>
      </c>
    </row>
    <row r="173" ht="36" customHeight="1">
      <c r="A173" s="31" t="inlineStr">
        <is>
          <t>24. [Analysis -- current code] Drill-Down Suggestions (analysis_agent.py: suggest_drilldowns())   --   chat_json()  -&gt;  JSON object</t>
        </is>
      </c>
    </row>
    <row r="174" ht="197.5" customHeight="1">
      <c r="A174" s="68" t="inlineStr">
        <is>
          <t>System Prompt</t>
        </is>
      </c>
      <c r="B174" s="69" t="inlineStr">
        <is>
          <t>You are the drilldown-suggestion step of the Analysis Agent. Given an analysis that was just computed and interpreted, propose up to 3 genuinely useful FOLLOW-UP analyses a program manager might want to explore next -- e.g. breaking a top-level finding down by another dimension, or zooming into the specific group/time-period that stood out. Every suggestion MUST reference only columns that appear in the given column list -- never invent a column name.
Respond with ONLY a JSON object, no markdown, no commentary:
{"drilldowns": [
  {
    "name": "short title",
    "description": "one plain-English sentence on what this drilldown would show",
    "calculation_intent": "a precise, unambiguous plain-English description of exactly how to compute this from the columns below"
  }
]}</t>
        </is>
      </c>
    </row>
    <row r="175" ht="47.5" customHeight="1">
      <c r="A175" s="68" t="inlineStr">
        <is>
          <t>User Prompt Template</t>
        </is>
      </c>
      <c r="B175" s="69" t="inlineStr">
        <is>
          <t>f"Analysis: {entry['name']}\nPlan:\n{plan['plan']}\n\nComputed table sample:\n{table_sample}\n\nInterpretation:\n{interpretation}\n\nCOLUMN CATALOG:\n{columns_block}\n\nPropose the drilldowns now."</t>
        </is>
      </c>
    </row>
    <row r="176" ht="35" customHeight="1">
      <c r="A176" s="68" t="inlineStr">
        <is>
          <t>Where it's used</t>
        </is>
      </c>
      <c r="B176" s="69" t="inlineStr">
        <is>
          <t>Call 6, runs automatically right after Chart Interpretation for every successfully computed analysis, same computation flow (finish_computation()).</t>
        </is>
      </c>
    </row>
    <row r="177" ht="47.5" customHeight="1">
      <c r="A177" s="68" t="inlineStr">
        <is>
          <t>Guardrails</t>
        </is>
      </c>
      <c r="B177" s="69" t="inlineStr">
        <is>
          <t>Every suggestion must reference only real columns from the given catalog; requires name + calculation_intent per suggestion or it's dropped; hard-capped at 3 in code (candidates[:3]) even though the prompt itself already asks for 'up to 3'.</t>
        </is>
      </c>
    </row>
    <row r="178" ht="110" customHeight="1">
      <c r="A178" s="68" t="inlineStr">
        <is>
          <t>Input JSON</t>
        </is>
      </c>
      <c r="B178" s="69" t="inlineStr">
        <is>
          <t>{"analysis_name": "Carrier Compliance Ranking",
 "plan": "1. Group by Carrier.\n2. Compute mean of % In Spec.\n3. Compute count of Serial Number.",
 "table_sample": [{"Carrier": "TransCold", "% In Spec": 96.4}, {"Carrier": "IceLine", "% In Spec": 89.1}],
 "interpretation": "IceLine lags well behind at 89.1% despite comparable volume, making it the primary compliance risk.",
 "columns_catalog": Column metadata (name, dtype, sample values)}</t>
        </is>
      </c>
    </row>
    <row r="179" ht="135" customHeight="1">
      <c r="A179" s="68" t="inlineStr">
        <is>
          <t>Output JSON</t>
        </is>
      </c>
      <c r="B179" s="69" t="inlineStr">
        <is>
          <t>{"drilldowns": [
  {"name": "IceLine Compliance by Origin",
   "description": "Breaks down IceLine's % In Spec across shipping origins.",
   "calculation_intent": "Filter to Carrier == 'IceLine', group by Origin, compute mean % In Spec."},
  {"name": "IceLine Compliance by Product",
   "description": "Breaks down IceLine's % In Spec across product lines.",
   "calculation_intent": "Filter to Carrier == 'IceLine', group by Product, compute mean % In Spec."}
]}</t>
        </is>
      </c>
    </row>
    <row r="181" ht="30" customHeight="1">
      <c r="A181" s="60" t="inlineStr">
        <is>
          <t>Entry 25 below covers Report Generation -- also traced from the current codebase. This is the LLM call behind the diagram's 'Narrative' box; note its actual input differs from that box's 'in: chart interpretation' label -- see Guardrails.</t>
        </is>
      </c>
    </row>
    <row r="183" ht="36" customHeight="1">
      <c r="A183" s="31" t="inlineStr">
        <is>
          <t>25. [Report Generation -- current code] Narrative (overall_analysis_agent.py: generate_narrative())   --   chat_text()  -&gt;  plain text</t>
        </is>
      </c>
    </row>
    <row r="184" ht="85" customHeight="1">
      <c r="A184" s="68" t="inlineStr">
        <is>
          <t>System Prompt</t>
        </is>
      </c>
      <c r="B184" s="69" t="inlineStr">
        <is>
          <t>You are a program manager writing the executive-summary paragraph for a recurring cold-chain shipment report. You've been given a list of already-computed headline numbers (rows analyzed, feature averages, top categories, and best/worst performers from the pivot tables below). Do NOT invent any number, name, or trend that isn't in the list given, and do NOT restate every bullet -- synthesize the 2-3 most report-worthy points into plain prose. Write exactly 2-4 plain-English sentences, no markdown, no bullet lists, no restating these instructions.</t>
        </is>
      </c>
    </row>
    <row r="185" ht="97.5" customHeight="1">
      <c r="A185" s="68" t="inlineStr">
        <is>
          <t>User Prompt Template</t>
        </is>
      </c>
      <c r="B185" s="69" t="inlineStr">
        <is>
          <t>f"Rows analyzed: {row_count}
{highlights_block}
Write the executive summary now."
where highlights_block = "
".join(f"- {h.label}: {h.value}" for h in highlights)</t>
        </is>
      </c>
    </row>
    <row r="186" ht="72.5" customHeight="1">
      <c r="A186" s="68" t="inlineStr">
        <is>
          <t>Where it's used</t>
        </is>
      </c>
      <c r="B186" s="69" t="inlineStr">
        <is>
          <t>Report page: the closing summary of the Overall Analysis / report view -- runs once per report generation, immediately after overall_analysis.py: build_highlights() deterministically computes row count + per-feature averages + top-category/best-worst-performer highlights from every approved analysis. This is the ONLY LLM call in the overall-analysis pipeline; the highlight rollup itself is pure arithmetic.</t>
        </is>
      </c>
    </row>
    <row r="187" ht="135" customHeight="1">
      <c r="A187" s="68" t="inlineStr">
        <is>
          <t>Guardrails</t>
        </is>
      </c>
      <c r="B187" s="69" t="inlineStr">
        <is>
          <t>Must not invent any number, name, or trend not present in the given highlights list; must not restate every bullet -- only synthesize the 2-3 most report-worthy into prose; exactly 2-4 plain sentences, no markdown/bullets; no fallback -- if Groq/OpenRouter is unavailable or the call fails, that's a real surfaced error, not a silent skip (same pattern as Outlier Summary / Action Recommendation).
ACCURACY NOTE: the diagram card for this box says 'in: chart interpretation' -- that does not match the actual code. generate_narrative()'s only inputs are row_count and a deterministic highlights list (built by build_highlights() from FeatureResult stats and analysis_entries' top/best/worst values); no Chart Interpretation text reaches this call anywhere in the codebase.</t>
        </is>
      </c>
    </row>
    <row r="188" ht="97.5" customHeight="1">
      <c r="A188" s="68" t="inlineStr">
        <is>
          <t>Input JSON</t>
        </is>
      </c>
      <c r="B188" s="69" t="inlineStr">
        <is>
          <t>{"row_count": 5000,
 "highlights": [
   {"label": "Avg Time in Transit", "value": "42.3 hours"},
   {"label": "Top Origin by Volume", "value": "Chile (1,204 shipments)"},
   {"label": "Best Carrier by % In Spec", "value": "TransCold (96.4%)"},
   {"label": "Worst Carrier by % In Spec", "value": "IceLine (89.1%)"}
 ]}</t>
        </is>
      </c>
    </row>
    <row r="189" ht="60" customHeight="1">
      <c r="A189" s="68" t="inlineStr">
        <is>
          <t>Output JSON</t>
        </is>
      </c>
      <c r="B189" s="69" t="inlineStr">
        <is>
          <t>Plain text string, 2-4 sentences (not JSON), e.g.:
"Across 5,000 shipments analyzed, TransCold led compliance at 96.4% In Spec while IceLine lagged at 89.1%. Chile was the top origin by volume with 1,204 shipments. Average transit time held steady at 42.3 hours."</t>
        </is>
      </c>
    </row>
  </sheetData>
  <mergeCells count="29">
    <mergeCell ref="A157:B157"/>
    <mergeCell ref="A64:B64"/>
    <mergeCell ref="A1:B1"/>
    <mergeCell ref="A70:B70"/>
    <mergeCell ref="A16:B16"/>
    <mergeCell ref="A183:B183"/>
    <mergeCell ref="A46:B46"/>
    <mergeCell ref="A75:B75"/>
    <mergeCell ref="A133:B133"/>
    <mergeCell ref="A149:B149"/>
    <mergeCell ref="A101:B101"/>
    <mergeCell ref="A85:B85"/>
    <mergeCell ref="A141:B141"/>
    <mergeCell ref="A181:B181"/>
    <mergeCell ref="A22:B22"/>
    <mergeCell ref="A109:B109"/>
    <mergeCell ref="A4:B4"/>
    <mergeCell ref="A125:B125"/>
    <mergeCell ref="A52:B52"/>
    <mergeCell ref="A165:B165"/>
    <mergeCell ref="A10:B10"/>
    <mergeCell ref="A28:B28"/>
    <mergeCell ref="A117:B117"/>
    <mergeCell ref="A93:B93"/>
    <mergeCell ref="A173:B173"/>
    <mergeCell ref="A58:B58"/>
    <mergeCell ref="A77:B77"/>
    <mergeCell ref="A34:B34"/>
    <mergeCell ref="A40:B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26" customWidth="1" min="3" max="3"/>
    <col width="20" customWidth="1" min="4" max="4"/>
    <col width="24" customWidth="1" min="5" max="5"/>
    <col width="70" customWidth="1" min="6" max="6"/>
    <col width="20" customWidth="1" min="7" max="7"/>
    <col width="20" customWidth="1" min="8" max="8"/>
  </cols>
  <sheetData>
    <row r="1">
      <c r="A1" s="1" t="inlineStr">
        <is>
          <t>#</t>
        </is>
      </c>
      <c r="B1" s="1" t="inlineStr">
        <is>
          <t>LLM Call</t>
        </is>
      </c>
      <c r="C1" s="1" t="inlineStr">
        <is>
          <t>Agent (module)</t>
        </is>
      </c>
      <c r="D1" s="1" t="inlineStr">
        <is>
          <t>Pipeline Steps # it powers</t>
        </is>
      </c>
      <c r="E1" s="1" t="inlineStr">
        <is>
          <t>Recommended Bedrock Model</t>
        </is>
      </c>
      <c r="F1" s="1" t="inlineStr">
        <is>
          <t>Why</t>
        </is>
      </c>
      <c r="G1" s="1" t="inlineStr">
        <is>
          <t>Approx. Input Cost (per 1M tokens)</t>
        </is>
      </c>
      <c r="H1" s="1" t="inlineStr">
        <is>
          <t>Approx. Output Cost (per 1M tokens)</t>
        </is>
      </c>
    </row>
    <row r="2" ht="60" customHeight="1">
      <c r="A2" s="41" t="n">
        <v>1</v>
      </c>
      <c r="B2" s="25" t="inlineStr">
        <is>
          <t>Planner Agent</t>
        </is>
      </c>
      <c r="C2" s="25" t="inlineStr">
        <is>
          <t>orchestrator_agent.py</t>
        </is>
      </c>
      <c r="D2" s="41" t="inlineStr">
        <is>
          <t>#4</t>
        </is>
      </c>
      <c r="E2" s="25" t="inlineStr">
        <is>
          <t>Claude Sonnet 4.5</t>
        </is>
      </c>
      <c r="F2" s="25" t="inlineStr">
        <is>
          <t>Classifies every ask and drafts the full feature/analysis definitions everything downstream branches from — the single highest-stakes, lowest-call-volume step in the pipeline (once per brief).</t>
        </is>
      </c>
      <c r="G2" s="41" t="inlineStr">
        <is>
          <t>$3.00</t>
        </is>
      </c>
      <c r="H2" s="41" t="inlineStr">
        <is>
          <t>$15.00</t>
        </is>
      </c>
    </row>
    <row r="3" ht="60" customHeight="1">
      <c r="A3" s="41" t="n">
        <v>2</v>
      </c>
      <c r="B3" s="25" t="inlineStr">
        <is>
          <t>Data Audit Agent (Summary generation)</t>
        </is>
      </c>
      <c r="C3" s="25" t="inlineStr">
        <is>
          <t>audit_agent.py</t>
        </is>
      </c>
      <c r="D3" s="41" t="inlineStr">
        <is>
          <t>#9</t>
        </is>
      </c>
      <c r="E3" s="25" t="inlineStr">
        <is>
          <t>Amazon Nova Lite</t>
        </is>
      </c>
      <c r="F3" s="25" t="inlineStr">
        <is>
          <t>Must apply explicit numeric thresholds (e.g. ~15% / ~80% cutoffs) correctly per finding, but the PM still approves/overrides every recommendation via HITL afterward — a mid-low tier is enough.</t>
        </is>
      </c>
      <c r="G3" s="41" t="inlineStr">
        <is>
          <t>$0.06</t>
        </is>
      </c>
      <c r="H3" s="41" t="inlineStr">
        <is>
          <t>$0.24</t>
        </is>
      </c>
    </row>
    <row r="4" ht="60" customHeight="1">
      <c r="A4" s="41" t="n">
        <v>3</v>
      </c>
      <c r="B4" s="25" t="inlineStr">
        <is>
          <t>Feature Suggestion Agent</t>
        </is>
      </c>
      <c r="C4" s="25" t="inlineStr">
        <is>
          <t>feature_suggester.py</t>
        </is>
      </c>
      <c r="D4" s="41" t="inlineStr">
        <is>
          <t>#12</t>
        </is>
      </c>
      <c r="E4" s="25" t="inlineStr">
        <is>
          <t>Amazon Nova Lite</t>
        </is>
      </c>
      <c r="F4" s="25" t="inlineStr">
        <is>
          <t>Constrained to exactly 3 computable template types; any suggestion naming a column that doesn't exist is filtered out before the PM ever sees it.</t>
        </is>
      </c>
      <c r="G4" s="41" t="inlineStr">
        <is>
          <t>$0.06</t>
        </is>
      </c>
      <c r="H4" s="41" t="inlineStr">
        <is>
          <t>$0.24</t>
        </is>
      </c>
    </row>
    <row r="5" ht="60" customHeight="1">
      <c r="A5" s="41" t="n">
        <v>4</v>
      </c>
      <c r="B5" s="25" t="inlineStr">
        <is>
          <t>Feature Request Agent</t>
        </is>
      </c>
      <c r="C5" s="25" t="inlineStr">
        <is>
          <t>feature_request_agent.py</t>
        </is>
      </c>
      <c r="D5" s="41" t="inlineStr">
        <is>
          <t>#13, #14, #16</t>
        </is>
      </c>
      <c r="E5" s="25" t="inlineStr">
        <is>
          <t>Amazon Nova Lite</t>
        </is>
      </c>
      <c r="F5" s="25" t="inlineStr">
        <is>
          <t>Same bounded template selection + real-column validation as the Feature Suggestion Agent, just resolving one specific typed or Planner-approved request instead of proposing five ideas.</t>
        </is>
      </c>
      <c r="G5" s="41" t="inlineStr">
        <is>
          <t>$0.06</t>
        </is>
      </c>
      <c r="H5" s="41" t="inlineStr">
        <is>
          <t>$0.24</t>
        </is>
      </c>
    </row>
    <row r="6" ht="60" customHeight="1">
      <c r="A6" s="41" t="n">
        <v>5</v>
      </c>
      <c r="B6" s="25" t="inlineStr">
        <is>
          <t>AI Feature Code Generator (Write Feature Code)</t>
        </is>
      </c>
      <c r="C6" s="25" t="inlineStr">
        <is>
          <t>ai_feature_generator.py</t>
        </is>
      </c>
      <c r="D6" s="41" t="inlineStr">
        <is>
          <t>#17</t>
        </is>
      </c>
      <c r="E6" s="25" t="inlineStr">
        <is>
          <t>Claude Haiku 4.5</t>
        </is>
      </c>
      <c r="F6" s="25" t="inlineStr">
        <is>
          <t>Only reached for the rare 'ai_generated' fallback. Output runs through an AST-sandboxed executor that catches runtime errors, so a model that's strong at code per dollar cuts the number of retries needed.</t>
        </is>
      </c>
      <c r="G6" s="41" t="inlineStr">
        <is>
          <t>$1.00</t>
        </is>
      </c>
      <c r="H6" s="41" t="inlineStr">
        <is>
          <t>$5.00</t>
        </is>
      </c>
    </row>
    <row r="7" ht="60" customHeight="1">
      <c r="A7" s="41" t="n">
        <v>6</v>
      </c>
      <c r="B7" s="25" t="inlineStr">
        <is>
          <t>Chart/Pivot Suggestion Agent</t>
        </is>
      </c>
      <c r="C7" s="25" t="inlineStr">
        <is>
          <t>pivot_suggester.py</t>
        </is>
      </c>
      <c r="D7" s="41" t="inlineStr">
        <is>
          <t>#20, #23</t>
        </is>
      </c>
      <c r="E7" s="25" t="inlineStr">
        <is>
          <t>Amazon Nova Lite</t>
        </is>
      </c>
      <c r="F7" s="25" t="inlineStr">
        <is>
          <t>Same shape as the Feature Suggestion Agent — a bounded suggestion set validated against real columns and an aggregation allowlist before the PM sees it.</t>
        </is>
      </c>
      <c r="G7" s="41" t="inlineStr">
        <is>
          <t>$0.06</t>
        </is>
      </c>
      <c r="H7" s="41" t="inlineStr">
        <is>
          <t>$0.24</t>
        </is>
      </c>
    </row>
    <row r="8" ht="60" customHeight="1">
      <c r="A8" s="41" t="n">
        <v>7</v>
      </c>
      <c r="B8" s="25" t="inlineStr">
        <is>
          <t>Formula Agent — template path (AI Drafts a Formula/Spec)</t>
        </is>
      </c>
      <c r="C8" s="25" t="inlineStr">
        <is>
          <t>formula_agent.py</t>
        </is>
      </c>
      <c r="D8" s="41" t="inlineStr">
        <is>
          <t>#21, #22, #24</t>
        </is>
      </c>
      <c r="E8" s="25" t="inlineStr">
        <is>
          <t>Meta Llama 3.3 70B Instruct</t>
        </is>
      </c>
      <c r="F8" s="25" t="inlineStr">
        <is>
          <t>Requires a real judgment call — is this question expressible as a group-by/metric pivot? — but a wrong call just falls through to the custom-code path rather than failing silently, so Sonnet-level spend isn't justified.</t>
        </is>
      </c>
      <c r="G8" s="41" t="inlineStr">
        <is>
          <t>$0.72</t>
        </is>
      </c>
      <c r="H8" s="41" t="inlineStr">
        <is>
          <t>$0.72</t>
        </is>
      </c>
    </row>
    <row r="9" ht="60" customHeight="1">
      <c r="A9" s="41" t="n">
        <v>8</v>
      </c>
      <c r="B9" s="25" t="inlineStr">
        <is>
          <t>Formula Agent — custom path (Write Custom Python)</t>
        </is>
      </c>
      <c r="C9" s="25" t="inlineStr">
        <is>
          <t>formula_agent.py</t>
        </is>
      </c>
      <c r="D9" s="41" t="inlineStr">
        <is>
          <t>#21, #22, #26</t>
        </is>
      </c>
      <c r="E9" s="25" t="inlineStr">
        <is>
          <t>Claude Haiku 4.5</t>
        </is>
      </c>
      <c r="F9" s="25" t="inlineStr">
        <is>
          <t>Only reached when the question can't be expressed as a pivot. Same reasoning as the Feature Code Generator — AST-sandboxed execution catches failures, so a strong-per-dollar code model minimizes retries.</t>
        </is>
      </c>
      <c r="G9" s="41" t="inlineStr">
        <is>
          <t>$1.00</t>
        </is>
      </c>
      <c r="H9" s="41" t="inlineStr">
        <is>
          <t>$5.00</t>
        </is>
      </c>
    </row>
    <row r="10" ht="60" customHeight="1">
      <c r="A10" s="41" t="n">
        <v>9</v>
      </c>
      <c r="B10" s="25" t="inlineStr">
        <is>
          <t>Chart Interpretation Agent</t>
        </is>
      </c>
      <c r="C10" s="25" t="inlineStr">
        <is>
          <t>chart_interpretation_agent.py</t>
        </is>
      </c>
      <c r="D10" s="41" t="inlineStr">
        <is>
          <t>#29</t>
        </is>
      </c>
      <c r="E10" s="25" t="inlineStr">
        <is>
          <t>Amazon Nova Micro</t>
        </is>
      </c>
      <c r="F10" s="25" t="inlineStr">
        <is>
          <t>Grounded entirely in one pivot's own visible rows (≤25) and explicitly forbidden from inventing a number — the lowest-risk LLM call in the pipeline.</t>
        </is>
      </c>
      <c r="G10" s="41" t="inlineStr">
        <is>
          <t>$0.035</t>
        </is>
      </c>
      <c r="H10" s="41" t="inlineStr">
        <is>
          <t>$0.14</t>
        </is>
      </c>
    </row>
    <row r="11" ht="60" customHeight="1">
      <c r="A11" s="41" t="n">
        <v>10</v>
      </c>
      <c r="B11" s="25" t="inlineStr">
        <is>
          <t>Drill-Down Agent</t>
        </is>
      </c>
      <c r="C11" s="25" t="inlineStr">
        <is>
          <t>drill_down_agent.py</t>
        </is>
      </c>
      <c r="D11" s="41" t="inlineStr">
        <is>
          <t>#30</t>
        </is>
      </c>
      <c r="E11" s="25" t="inlineStr">
        <is>
          <t>Meta Llama 3.3 70B Instruct</t>
        </is>
      </c>
      <c r="F11" s="25" t="inlineStr">
        <is>
          <t>Needs to spot which data slice is genuinely worth investigating across multiple pivots/highlights at once — more synthesis than a single-chart caption, so a step above the cheapest tier earns its keep.</t>
        </is>
      </c>
      <c r="G11" s="41" t="inlineStr">
        <is>
          <t>$0.72</t>
        </is>
      </c>
      <c r="H11" s="41" t="inlineStr">
        <is>
          <t>$0.72</t>
        </is>
      </c>
    </row>
    <row r="12" ht="60" customHeight="1">
      <c r="A12" s="41" t="n">
        <v>11</v>
      </c>
      <c r="B12" s="25" t="inlineStr">
        <is>
          <t>Overall Analysis Agent (Assemble Narrative)</t>
        </is>
      </c>
      <c r="C12" s="25" t="inlineStr">
        <is>
          <t>overall_analysis_agent.py</t>
        </is>
      </c>
      <c r="D12" s="41" t="inlineStr">
        <is>
          <t>#31</t>
        </is>
      </c>
      <c r="E12" s="25" t="inlineStr">
        <is>
          <t>Amazon Nova Micro</t>
        </is>
      </c>
      <c r="F12" s="25" t="inlineStr">
        <is>
          <t>The highlight rollup itself is pure arithmetic; only the closing 2-4 sentence narrative is an LLM call, explicitly forbidden from inventing a number, name, or trend.</t>
        </is>
      </c>
      <c r="G12" s="41" t="inlineStr">
        <is>
          <t>$0.035</t>
        </is>
      </c>
      <c r="H12" s="41" t="inlineStr">
        <is>
          <t>$0.14</t>
        </is>
      </c>
    </row>
    <row r="14" ht="75" customHeight="1">
      <c r="A14" s="39" t="inlineStr">
        <is>
          <t>Note</t>
        </is>
      </c>
      <c r="B14" s="40" t="inlineStr">
        <is>
          <t>Costs are approximate, per 1M tokens, quoted separately for input and output since they price differently (output is typically 4-5x input on most providers). Verify current rates at https://aws.amazon.com/bedrock/pricing/ before committing — pricing shifts as providers update their catalogs. Rule of thumb applied throughout: pay for a stronger model only when its output isn't independently verified downstream (a formula/spec nothing else checks) or call volume is inherently low; use the cheapest viable tier when the pipeline's own validation (real-column checks, aggregation allowlists, AST-sandboxed execution, or a human HITL/approval step) already catches a wrong or hallucinated answer.</t>
        </is>
      </c>
    </row>
  </sheetData>
  <mergeCells count="1">
    <mergeCell ref="B14:H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2" customWidth="1" min="3" max="3"/>
    <col width="34" customWidth="1" min="4" max="4"/>
    <col width="14" customWidth="1" min="5" max="5"/>
    <col width="14" customWidth="1" min="6" max="6"/>
    <col width="16" customWidth="1" min="7" max="7"/>
  </cols>
  <sheetData>
    <row r="1" ht="22" customHeight="1">
      <c r="A1" s="42" t="inlineStr">
        <is>
          <t>1) Bedrock LLM Cost — Real Measured Run (all 8 LLM calls, 1 full Upload→Report pass)</t>
        </is>
      </c>
      <c r="B1" s="49" t="n"/>
      <c r="C1" s="49" t="n"/>
      <c r="D1" s="49" t="n"/>
      <c r="E1" s="49" t="n"/>
      <c r="F1" s="49" t="n"/>
      <c r="G1" s="48" t="n"/>
    </row>
    <row r="2">
      <c r="A2" s="1" t="inlineStr">
        <is>
          <t>LLM Call</t>
        </is>
      </c>
      <c r="B2" s="1" t="inlineStr">
        <is>
          <t>Recommended Model</t>
        </is>
      </c>
      <c r="C2" s="1" t="inlineStr">
        <is>
          <t>Input Tokens</t>
        </is>
      </c>
      <c r="D2" s="1" t="inlineStr">
        <is>
          <t>Output Tokens</t>
        </is>
      </c>
      <c r="E2" s="1" t="inlineStr">
        <is>
          <t>Input Rate ($/1M)</t>
        </is>
      </c>
      <c r="F2" s="1" t="inlineStr">
        <is>
          <t>Output Rate ($/1M)</t>
        </is>
      </c>
      <c r="G2" s="1" t="inlineStr">
        <is>
          <t>Cost ($)</t>
        </is>
      </c>
    </row>
    <row r="3" ht="30" customHeight="1">
      <c r="A3" s="25" t="inlineStr">
        <is>
          <t>Planner Agent</t>
        </is>
      </c>
      <c r="B3" s="25" t="inlineStr">
        <is>
          <t>Claude Sonnet 4.5</t>
        </is>
      </c>
      <c r="C3" s="41" t="n">
        <v>3145</v>
      </c>
      <c r="D3" s="41" t="n">
        <v>699</v>
      </c>
      <c r="E3" s="41" t="n">
        <v>3</v>
      </c>
      <c r="F3" s="41" t="n">
        <v>15</v>
      </c>
      <c r="G3" s="44">
        <f>(C3/1000000*E3)+(D3/1000000*F3)</f>
        <v/>
      </c>
    </row>
    <row r="4" ht="30" customHeight="1">
      <c r="A4" s="25" t="inlineStr">
        <is>
          <t>Feature Agent — Think (formula generation)</t>
        </is>
      </c>
      <c r="B4" s="25" t="inlineStr">
        <is>
          <t>Claude Sonnet 4.5</t>
        </is>
      </c>
      <c r="C4" s="41" t="n">
        <v>6020</v>
      </c>
      <c r="D4" s="41" t="n">
        <v>486</v>
      </c>
      <c r="E4" s="41" t="n">
        <v>3</v>
      </c>
      <c r="F4" s="41" t="n">
        <v>15</v>
      </c>
      <c r="G4" s="44">
        <f>(C4/1000000*E4)+(D4/1000000*F4)</f>
        <v/>
      </c>
    </row>
    <row r="5" ht="30" customHeight="1">
      <c r="A5" s="25" t="inlineStr">
        <is>
          <t>Feature Agent — Write Code (17 calls incl. retries)</t>
        </is>
      </c>
      <c r="B5" s="25" t="inlineStr">
        <is>
          <t>Claude Haiku 4.5</t>
        </is>
      </c>
      <c r="C5" s="41" t="n">
        <v>34745</v>
      </c>
      <c r="D5" s="41" t="n">
        <v>1890</v>
      </c>
      <c r="E5" s="41" t="n">
        <v>1</v>
      </c>
      <c r="F5" s="41" t="n">
        <v>5</v>
      </c>
      <c r="G5" s="44">
        <f>(C5/1000000*E5)+(D5/1000000*F5)</f>
        <v/>
      </c>
    </row>
    <row r="6" ht="30" customHeight="1">
      <c r="A6" s="25" t="inlineStr">
        <is>
          <t>Feature Agent — Validate (12 calls)</t>
        </is>
      </c>
      <c r="B6" s="25" t="inlineStr">
        <is>
          <t>Amazon Nova Micro</t>
        </is>
      </c>
      <c r="C6" s="41" t="n">
        <v>8175</v>
      </c>
      <c r="D6" s="41" t="n">
        <v>374</v>
      </c>
      <c r="E6" s="41" t="n">
        <v>0.035</v>
      </c>
      <c r="F6" s="41" t="n">
        <v>0.14</v>
      </c>
      <c r="G6" s="44">
        <f>(C6/1000000*E6)+(D6/1000000*F6)</f>
        <v/>
      </c>
    </row>
    <row r="7" ht="30" customHeight="1">
      <c r="A7" s="25" t="inlineStr">
        <is>
          <t>Feature Suggester</t>
        </is>
      </c>
      <c r="B7" s="25" t="inlineStr">
        <is>
          <t>Amazon Nova Lite</t>
        </is>
      </c>
      <c r="C7" s="41" t="n">
        <v>1529</v>
      </c>
      <c r="D7" s="41" t="n">
        <v>481</v>
      </c>
      <c r="E7" s="41" t="n">
        <v>0.06</v>
      </c>
      <c r="F7" s="41" t="n">
        <v>0.24</v>
      </c>
      <c r="G7" s="44">
        <f>(C7/1000000*E7)+(D7/1000000*F7)</f>
        <v/>
      </c>
    </row>
    <row r="8" ht="30" customHeight="1">
      <c r="A8" s="25" t="inlineStr">
        <is>
          <t>Pivot Suggester</t>
        </is>
      </c>
      <c r="B8" s="25" t="inlineStr">
        <is>
          <t>Amazon Nova Lite</t>
        </is>
      </c>
      <c r="C8" s="41" t="n">
        <v>2186</v>
      </c>
      <c r="D8" s="41" t="n">
        <v>741</v>
      </c>
      <c r="E8" s="41" t="n">
        <v>0.06</v>
      </c>
      <c r="F8" s="41" t="n">
        <v>0.24</v>
      </c>
      <c r="G8" s="44">
        <f>(C8/1000000*E8)+(D8/1000000*F8)</f>
        <v/>
      </c>
    </row>
    <row r="9" ht="30" customHeight="1">
      <c r="A9" s="25" t="inlineStr">
        <is>
          <t>Audit Agent</t>
        </is>
      </c>
      <c r="B9" s="25" t="inlineStr">
        <is>
          <t>Amazon Nova Lite</t>
        </is>
      </c>
      <c r="C9" s="41" t="n">
        <v>1326</v>
      </c>
      <c r="D9" s="41" t="n">
        <v>253</v>
      </c>
      <c r="E9" s="41" t="n">
        <v>0.06</v>
      </c>
      <c r="F9" s="41" t="n">
        <v>0.24</v>
      </c>
      <c r="G9" s="44">
        <f>(C9/1000000*E9)+(D9/1000000*F9)</f>
        <v/>
      </c>
    </row>
    <row r="10" ht="30" customHeight="1">
      <c r="A10" s="25" t="inlineStr">
        <is>
          <t>Overall Analysis Agent</t>
        </is>
      </c>
      <c r="B10" s="25" t="inlineStr">
        <is>
          <t>Amazon Nova Micro</t>
        </is>
      </c>
      <c r="C10" s="41" t="n">
        <v>238</v>
      </c>
      <c r="D10" s="41" t="n">
        <v>62</v>
      </c>
      <c r="E10" s="41" t="n">
        <v>0.035</v>
      </c>
      <c r="F10" s="41" t="n">
        <v>0.14</v>
      </c>
      <c r="G10" s="44">
        <f>(C10/1000000*E10)+(D10/1000000*F10)</f>
        <v/>
      </c>
    </row>
    <row r="11" ht="30" customHeight="1">
      <c r="A11" s="45" t="inlineStr">
        <is>
          <t>Bedrock Subtotal</t>
        </is>
      </c>
      <c r="B11" s="45" t="inlineStr"/>
      <c r="C11" s="46">
        <f>SUM(C3:C10)</f>
        <v/>
      </c>
      <c r="D11" s="46">
        <f>SUM(D3:D10)</f>
        <v/>
      </c>
      <c r="E11" s="46" t="inlineStr"/>
      <c r="F11" s="46" t="inlineStr"/>
      <c r="G11" s="47">
        <f>SUM(G3:G10)</f>
        <v/>
      </c>
    </row>
    <row r="13" ht="22" customHeight="1">
      <c r="A13" s="42" t="inlineStr">
        <is>
          <t>2) Non-LLM Variable Cost — Scales Per Run</t>
        </is>
      </c>
      <c r="B13" s="49" t="n"/>
      <c r="C13" s="49" t="n"/>
      <c r="D13" s="49" t="n"/>
      <c r="E13" s="49" t="n"/>
      <c r="F13" s="49" t="n"/>
      <c r="G13" s="48" t="n"/>
    </row>
    <row r="14">
      <c r="A14" s="1" t="inlineStr">
        <is>
          <t>Service</t>
        </is>
      </c>
      <c r="B14" s="1" t="inlineStr">
        <is>
          <t>Role in Architecture</t>
        </is>
      </c>
      <c r="C14" s="1" t="inlineStr">
        <is>
          <t>Driver</t>
        </is>
      </c>
      <c r="D14" s="1" t="inlineStr">
        <is>
          <t>Assumption</t>
        </is>
      </c>
      <c r="E14" s="1" t="inlineStr"/>
      <c r="F14" s="48" t="n"/>
      <c r="G14" s="1" t="inlineStr">
        <is>
          <t>Cost ($)</t>
        </is>
      </c>
    </row>
    <row r="15" ht="30" customHeight="1">
      <c r="A15" s="25" t="inlineStr">
        <is>
          <t>Amazon DynamoDB</t>
        </is>
      </c>
      <c r="B15" s="25" t="inlineStr">
        <is>
          <t>Application/session state</t>
        </is>
      </c>
      <c r="C15" s="25" t="inlineStr">
        <is>
          <t>~15–20 read+write request units</t>
        </is>
      </c>
      <c r="D15" s="25" t="inlineStr">
        <is>
          <t>On-demand: $1.25/M writes, $0.25/M reads</t>
        </is>
      </c>
      <c r="E15" s="25" t="inlineStr"/>
      <c r="F15" s="48" t="n"/>
      <c r="G15" s="44" t="n">
        <v>2e-05</v>
      </c>
    </row>
    <row r="16" ht="30" customHeight="1">
      <c r="A16" s="25" t="inlineStr">
        <is>
          <t>Amazon S3</t>
        </is>
      </c>
      <c r="B16" s="25" t="inlineStr">
        <is>
          <t>Uploaded files + report output</t>
        </is>
      </c>
      <c r="C16" s="25" t="inlineStr">
        <is>
          <t>~1.2MB upload + ~2–5MB report</t>
        </is>
      </c>
      <c r="D16" s="25" t="inlineStr">
        <is>
          <t>Storage $0.023/GB-mo + PUT $0.005/1,000 req</t>
        </is>
      </c>
      <c r="E16" s="25" t="inlineStr"/>
      <c r="F16" s="48" t="n"/>
      <c r="G16" s="44" t="n">
        <v>4e-05</v>
      </c>
    </row>
    <row r="17" ht="30" customHeight="1">
      <c r="A17" s="25" t="inlineStr">
        <is>
          <t>AWS Glue</t>
        </is>
      </c>
      <c r="B17" s="25" t="inlineStr">
        <is>
          <t>Backup/read job (if triggered per run)</t>
        </is>
      </c>
      <c r="C17" s="25" t="inlineStr">
        <is>
          <t>2 DPU × 2 min (1-min minimum billing)</t>
        </is>
      </c>
      <c r="D17" s="25" t="inlineStr">
        <is>
          <t>$0.44/DPU-hour</t>
        </is>
      </c>
      <c r="E17" s="25" t="inlineStr"/>
      <c r="F17" s="48" t="n"/>
      <c r="G17" s="44" t="n">
        <v>0.03</v>
      </c>
    </row>
    <row r="18" ht="30" customHeight="1">
      <c r="A18" s="25" t="inlineStr">
        <is>
          <t>Data Transfer Out</t>
        </is>
      </c>
      <c r="B18" s="25" t="inlineStr">
        <is>
          <t>Report download to user</t>
        </is>
      </c>
      <c r="C18" s="25" t="inlineStr">
        <is>
          <t>~5MB</t>
        </is>
      </c>
      <c r="D18" s="25" t="inlineStr">
        <is>
          <t>Free tier covers first 100GB/mo</t>
        </is>
      </c>
      <c r="E18" s="25" t="inlineStr"/>
      <c r="F18" s="48" t="n"/>
      <c r="G18" s="44" t="n">
        <v>0</v>
      </c>
    </row>
    <row r="19" ht="30" customHeight="1">
      <c r="A19" s="45" t="inlineStr">
        <is>
          <t>Non-LLM Variable Subtotal</t>
        </is>
      </c>
      <c r="B19" s="49" t="n"/>
      <c r="C19" s="49" t="n"/>
      <c r="D19" s="49" t="n"/>
      <c r="E19" s="49" t="n"/>
      <c r="F19" s="48" t="n"/>
      <c r="G19" s="47">
        <f>SUM(G15:G18)</f>
        <v/>
      </c>
    </row>
    <row r="21" ht="22" customHeight="1">
      <c r="A21" s="42" t="inlineStr">
        <is>
          <t>3) Total Cost Per Run</t>
        </is>
      </c>
      <c r="B21" s="49" t="n"/>
      <c r="C21" s="49" t="n"/>
      <c r="D21" s="49" t="n"/>
      <c r="E21" s="49" t="n"/>
      <c r="F21" s="49" t="n"/>
      <c r="G21" s="48" t="n"/>
    </row>
    <row r="22">
      <c r="A22" s="1" t="inlineStr">
        <is>
          <t>Component</t>
        </is>
      </c>
      <c r="B22" s="49" t="n"/>
      <c r="C22" s="49" t="n"/>
      <c r="D22" s="49" t="n"/>
      <c r="E22" s="49" t="n"/>
      <c r="F22" s="48" t="n"/>
      <c r="G22" s="1" t="inlineStr">
        <is>
          <t>Cost ($)</t>
        </is>
      </c>
    </row>
    <row r="23" ht="30" customHeight="1">
      <c r="A23" s="25" t="inlineStr">
        <is>
          <t>Bedrock LLM cost (Section 1)</t>
        </is>
      </c>
      <c r="B23" s="49" t="n"/>
      <c r="C23" s="49" t="n"/>
      <c r="D23" s="49" t="n"/>
      <c r="E23" s="49" t="n"/>
      <c r="F23" s="48" t="n"/>
      <c r="G23" s="44">
        <f>G11</f>
        <v/>
      </c>
    </row>
    <row r="24" ht="30" customHeight="1">
      <c r="A24" s="25" t="inlineStr">
        <is>
          <t>Non-LLM variable cost (Section 2)</t>
        </is>
      </c>
      <c r="B24" s="49" t="n"/>
      <c r="C24" s="49" t="n"/>
      <c r="D24" s="49" t="n"/>
      <c r="E24" s="49" t="n"/>
      <c r="F24" s="48" t="n"/>
      <c r="G24" s="44">
        <f>G19</f>
        <v/>
      </c>
    </row>
    <row r="25" ht="30" customHeight="1">
      <c r="A25" s="50" t="inlineStr">
        <is>
          <t>TOTAL COST PER RUN</t>
        </is>
      </c>
      <c r="B25" s="49" t="n"/>
      <c r="C25" s="49" t="n"/>
      <c r="D25" s="49" t="n"/>
      <c r="E25" s="49" t="n"/>
      <c r="F25" s="48" t="n"/>
      <c r="G25" s="51">
        <f>G23+G24</f>
        <v/>
      </c>
    </row>
    <row r="27" ht="22" customHeight="1">
      <c r="A27" s="42" t="inlineStr">
        <is>
          <t>4) Fixed Infrastructure — Monthly, NOT Billed Per Run</t>
        </is>
      </c>
      <c r="B27" s="49" t="n"/>
      <c r="C27" s="49" t="n"/>
      <c r="D27" s="49" t="n"/>
      <c r="E27" s="49" t="n"/>
      <c r="F27" s="49" t="n"/>
      <c r="G27" s="48" t="n"/>
    </row>
    <row r="28">
      <c r="A28" s="1" t="inlineStr">
        <is>
          <t>Service</t>
        </is>
      </c>
      <c r="B28" s="1" t="inlineStr">
        <is>
          <t>Role in Architecture</t>
        </is>
      </c>
      <c r="C28" s="1" t="inlineStr">
        <is>
          <t>Assumption</t>
        </is>
      </c>
      <c r="D28" s="1" t="inlineStr"/>
      <c r="E28" s="1" t="inlineStr"/>
      <c r="F28" s="1" t="inlineStr"/>
      <c r="G28" s="1" t="inlineStr">
        <is>
          <t>Monthly Cost ($)</t>
        </is>
      </c>
    </row>
    <row r="29" ht="30" customHeight="1">
      <c r="A29" s="25" t="inlineStr">
        <is>
          <t>Amazon ECS on EC2</t>
        </is>
      </c>
      <c r="B29" s="25" t="inlineStr">
        <is>
          <t>Backend compute (FastAPI)</t>
        </is>
      </c>
      <c r="C29" s="25" t="inlineStr">
        <is>
          <t>1× t3.medium (2 vCPU/4GB), on-demand, 24/7 (730 hrs × $0.0414)</t>
        </is>
      </c>
      <c r="D29" s="49" t="n"/>
      <c r="E29" s="49" t="n"/>
      <c r="F29" s="48" t="n"/>
      <c r="G29" s="52" t="n">
        <v>30.24</v>
      </c>
    </row>
    <row r="30" ht="30" customHeight="1">
      <c r="A30" s="25" t="inlineStr">
        <is>
          <t>Amazon Amplify</t>
        </is>
      </c>
      <c r="B30" s="25" t="inlineStr">
        <is>
          <t>Frontend hosting + CI deploy</t>
        </is>
      </c>
      <c r="C30" s="25" t="inlineStr">
        <is>
          <t>~5 builds/mo (1 min each) + 5GB served</t>
        </is>
      </c>
      <c r="D30" s="49" t="n"/>
      <c r="E30" s="49" t="n"/>
      <c r="F30" s="48" t="n"/>
      <c r="G30" s="52" t="n">
        <v>1.55</v>
      </c>
    </row>
    <row r="31" ht="30" customHeight="1">
      <c r="A31" s="25" t="inlineStr">
        <is>
          <t>Amazon ECR</t>
        </is>
      </c>
      <c r="B31" s="25" t="inlineStr">
        <is>
          <t>Container image storage</t>
        </is>
      </c>
      <c r="C31" s="25" t="inlineStr">
        <is>
          <t>1 image, ~1GB @ $0.10/GB-mo</t>
        </is>
      </c>
      <c r="D31" s="49" t="n"/>
      <c r="E31" s="49" t="n"/>
      <c r="F31" s="48" t="n"/>
      <c r="G31" s="52" t="n">
        <v>0.1</v>
      </c>
    </row>
    <row r="32" ht="30" customHeight="1">
      <c r="A32" s="25" t="inlineStr">
        <is>
          <t>AWS Secrets Manager</t>
        </is>
      </c>
      <c r="B32" s="25" t="inlineStr">
        <is>
          <t>API keys (OpenRouter/Bedrock creds)</t>
        </is>
      </c>
      <c r="C32" s="25" t="inlineStr">
        <is>
          <t>2 secrets @ $0.40/secret/mo</t>
        </is>
      </c>
      <c r="D32" s="49" t="n"/>
      <c r="E32" s="49" t="n"/>
      <c r="F32" s="48" t="n"/>
      <c r="G32" s="52" t="n">
        <v>0.8</v>
      </c>
    </row>
    <row r="33" ht="30" customHeight="1">
      <c r="A33" s="25" t="inlineStr">
        <is>
          <t>Amazon CloudWatch</t>
        </is>
      </c>
      <c r="B33" s="25" t="inlineStr">
        <is>
          <t>Logs/metrics</t>
        </is>
      </c>
      <c r="C33" s="25" t="inlineStr">
        <is>
          <t>Low volume, &lt;1GB logs/mo</t>
        </is>
      </c>
      <c r="D33" s="49" t="n"/>
      <c r="E33" s="49" t="n"/>
      <c r="F33" s="48" t="n"/>
      <c r="G33" s="52" t="n">
        <v>0.5</v>
      </c>
    </row>
    <row r="34" ht="30" customHeight="1">
      <c r="A34" s="25" t="inlineStr">
        <is>
          <t>AWS IAM</t>
        </is>
      </c>
      <c r="B34" s="25" t="inlineStr">
        <is>
          <t>Roles/policies</t>
        </is>
      </c>
      <c r="C34" s="25" t="inlineStr">
        <is>
          <t>Free</t>
        </is>
      </c>
      <c r="D34" s="49" t="n"/>
      <c r="E34" s="49" t="n"/>
      <c r="F34" s="48" t="n"/>
      <c r="G34" s="52" t="n">
        <v>0</v>
      </c>
    </row>
    <row r="35" ht="30" customHeight="1">
      <c r="A35" s="25" t="inlineStr">
        <is>
          <t>SageMaker Notebook</t>
        </is>
      </c>
      <c r="B35" s="25" t="inlineStr">
        <is>
          <t>LLM evaluation (dev-only, not production runs)</t>
        </is>
      </c>
      <c r="C35" s="25" t="inlineStr">
        <is>
          <t>ml.t3.medium, ~10 hrs/mo active @ $0.0582/hr</t>
        </is>
      </c>
      <c r="D35" s="49" t="n"/>
      <c r="E35" s="49" t="n"/>
      <c r="F35" s="48" t="n"/>
      <c r="G35" s="52" t="n">
        <v>0.58</v>
      </c>
    </row>
    <row r="36" ht="30" customHeight="1">
      <c r="A36" s="45" t="inlineStr">
        <is>
          <t>Fixed Infrastructure Subtotal (monthly)</t>
        </is>
      </c>
      <c r="B36" s="49" t="n"/>
      <c r="C36" s="49" t="n"/>
      <c r="D36" s="49" t="n"/>
      <c r="E36" s="49" t="n"/>
      <c r="F36" s="48" t="n"/>
      <c r="G36" s="53">
        <f>SUM(G29:G35)</f>
        <v/>
      </c>
    </row>
    <row r="38" ht="22" customHeight="1">
      <c r="A38" s="42" t="inlineStr">
        <is>
          <t>5) Amortized Fixed Cost Per Run (at assumed monthly run volume)</t>
        </is>
      </c>
      <c r="B38" s="49" t="n"/>
      <c r="C38" s="49" t="n"/>
      <c r="D38" s="49" t="n"/>
      <c r="E38" s="49" t="n"/>
      <c r="F38" s="49" t="n"/>
      <c r="G38" s="48" t="n"/>
    </row>
    <row r="39">
      <c r="A39" s="1" t="inlineStr">
        <is>
          <t>Assumed Runs / Month</t>
        </is>
      </c>
      <c r="B39" s="1" t="inlineStr"/>
      <c r="C39" s="1" t="inlineStr"/>
      <c r="D39" s="1" t="inlineStr"/>
      <c r="E39" s="1" t="inlineStr"/>
      <c r="F39" s="1" t="inlineStr"/>
      <c r="G39" s="1" t="inlineStr">
        <is>
          <t>Fixed Cost Per Run ($)</t>
        </is>
      </c>
    </row>
    <row r="40" ht="30" customHeight="1">
      <c r="A40" s="41" t="n">
        <v>50</v>
      </c>
      <c r="B40" s="49" t="n"/>
      <c r="C40" s="49" t="n"/>
      <c r="D40" s="49" t="n"/>
      <c r="E40" s="49" t="n"/>
      <c r="F40" s="48" t="n"/>
      <c r="G40" s="54">
        <f>G36/A40</f>
        <v/>
      </c>
    </row>
    <row r="41" ht="30" customHeight="1">
      <c r="A41" s="41" t="n">
        <v>200</v>
      </c>
      <c r="B41" s="49" t="n"/>
      <c r="C41" s="49" t="n"/>
      <c r="D41" s="49" t="n"/>
      <c r="E41" s="49" t="n"/>
      <c r="F41" s="48" t="n"/>
      <c r="G41" s="54">
        <f>G36/A41</f>
        <v/>
      </c>
    </row>
    <row r="42" ht="30" customHeight="1">
      <c r="A42" s="41" t="n">
        <v>1000</v>
      </c>
      <c r="B42" s="49" t="n"/>
      <c r="C42" s="49" t="n"/>
      <c r="D42" s="49" t="n"/>
      <c r="E42" s="49" t="n"/>
      <c r="F42" s="48" t="n"/>
      <c r="G42" s="54">
        <f>G36/A42</f>
        <v/>
      </c>
    </row>
    <row r="44" ht="90" customHeight="1">
      <c r="A44" s="25" t="inlineStr">
        <is>
          <t>Notes: Token counts are real, measured from backend/data/token_usage.jsonl for one complete Upload→Planner→Audit→Features→Analysis→Report pass. Model choices and per-1M-token rates are this project's Bedrock recommendations (see 'LLM Calls - Bedrock Models' sheet) — approximate and should be verified at https://aws.amazon.com/bedrock/pricing/ before committing. Region assumed us-east-1, on-demand pricing, no savings plans/reserved capacity. Feature Agent's Write Code step accounts for ~49% of the Bedrock cost alone (17 of 37 total calls) due to retries — reducing retry volume (e.g. the numpy-import bug found separately) would cut per-run cost more than any model substitution. Microsoft Entra and GitHub/GitHub Actions are excluded as they are not AWS charges.</t>
        </is>
      </c>
      <c r="B44" s="49" t="n"/>
      <c r="C44" s="49" t="n"/>
      <c r="D44" s="49" t="n"/>
      <c r="E44" s="49" t="n"/>
      <c r="F44" s="49" t="n"/>
      <c r="G44" s="48" t="n"/>
    </row>
  </sheetData>
  <mergeCells count="27">
    <mergeCell ref="A41:F41"/>
    <mergeCell ref="A38:G38"/>
    <mergeCell ref="E14:F14"/>
    <mergeCell ref="C32:F32"/>
    <mergeCell ref="E17:F17"/>
    <mergeCell ref="A13:G13"/>
    <mergeCell ref="A44:G44"/>
    <mergeCell ref="A42:F42"/>
    <mergeCell ref="C34:F34"/>
    <mergeCell ref="A23:F23"/>
    <mergeCell ref="C30:F30"/>
    <mergeCell ref="A22:F22"/>
    <mergeCell ref="C33:F33"/>
    <mergeCell ref="A1:G1"/>
    <mergeCell ref="E15:F15"/>
    <mergeCell ref="A19:F19"/>
    <mergeCell ref="C35:F35"/>
    <mergeCell ref="C29:F29"/>
    <mergeCell ref="A40:F40"/>
    <mergeCell ref="A24:F24"/>
    <mergeCell ref="C31:F31"/>
    <mergeCell ref="E16:F16"/>
    <mergeCell ref="A27:G27"/>
    <mergeCell ref="A36:F36"/>
    <mergeCell ref="A21:G21"/>
    <mergeCell ref="E18:F18"/>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4" customWidth="1" min="3" max="3"/>
    <col width="14" customWidth="1" min="4" max="4"/>
    <col width="16" customWidth="1" min="5" max="5"/>
    <col width="40" customWidth="1" min="6" max="6"/>
  </cols>
  <sheetData>
    <row r="1" ht="22" customHeight="1">
      <c r="A1" s="42" t="inlineStr">
        <is>
          <t>1) Services Cost Breakdown — AWS Pricing Calculator (calculator.aws), Region: Europe (Frankfurt)</t>
        </is>
      </c>
      <c r="B1" s="49" t="n"/>
      <c r="C1" s="49" t="n"/>
      <c r="D1" s="49" t="n"/>
      <c r="E1" s="49" t="n"/>
      <c r="F1" s="48" t="n"/>
    </row>
    <row r="2">
      <c r="A2" s="1" t="inlineStr">
        <is>
          <t>Service</t>
        </is>
      </c>
      <c r="B2" s="1" t="inlineStr">
        <is>
          <t>Config Summary</t>
        </is>
      </c>
      <c r="C2" s="1" t="inlineStr">
        <is>
          <t>Upfront Cost</t>
        </is>
      </c>
      <c r="D2" s="1" t="inlineStr">
        <is>
          <t>Monthly Cost</t>
        </is>
      </c>
      <c r="E2" s="1" t="inlineStr">
        <is>
          <t>% of Monthly Total</t>
        </is>
      </c>
      <c r="F2" s="1" t="inlineStr">
        <is>
          <t>Role in Architecture</t>
        </is>
      </c>
    </row>
    <row r="3" ht="30" customHeight="1">
      <c r="A3" s="25" t="inlineStr">
        <is>
          <t>Amazon EC2</t>
        </is>
      </c>
      <c r="B3" s="25" t="inlineStr">
        <is>
          <t>Tenancy (Shared Instances), Linux, Consistent workload, 1 instance</t>
        </is>
      </c>
      <c r="C3" s="52" t="n">
        <v>0</v>
      </c>
      <c r="D3" s="52" t="n">
        <v>63.97</v>
      </c>
      <c r="E3" s="56">
        <f>D3/$D$11</f>
        <v/>
      </c>
      <c r="F3" s="25" t="inlineStr">
        <is>
          <t>Backend compute (runs ECS tasks)</t>
        </is>
      </c>
    </row>
    <row r="4" ht="30" customHeight="1">
      <c r="A4" s="25" t="inlineStr">
        <is>
          <t>Amazon Bedrock</t>
        </is>
      </c>
      <c r="B4" s="25" t="inlineStr">
        <is>
          <t>Inference route: Global, Inference type: On-Demand Standard</t>
        </is>
      </c>
      <c r="C4" s="52" t="n">
        <v>0</v>
      </c>
      <c r="D4" s="52" t="n">
        <v>86.40000000000001</v>
      </c>
      <c r="E4" s="56">
        <f>D4/$D$11</f>
        <v/>
      </c>
      <c r="F4" s="25" t="inlineStr">
        <is>
          <t>LLM calls (Planner, Feature Agent, suggestion agents)</t>
        </is>
      </c>
    </row>
    <row r="5" ht="30" customHeight="1">
      <c r="A5" s="25" t="inlineStr">
        <is>
          <t>AWS Glue</t>
        </is>
      </c>
      <c r="B5" s="25" t="inlineStr">
        <is>
          <t>10 DPUs (Apache Spark job), 0.0625 DPUs (Python Shell job)</t>
        </is>
      </c>
      <c r="C5" s="52" t="n">
        <v>0</v>
      </c>
      <c r="D5" s="52" t="n">
        <v>8.800000000000001</v>
      </c>
      <c r="E5" s="56">
        <f>D5/$D$11</f>
        <v/>
      </c>
      <c r="F5" s="25" t="inlineStr">
        <is>
          <t>Data read/backup ETL</t>
        </is>
      </c>
    </row>
    <row r="6" ht="30" customHeight="1">
      <c r="A6" s="25" t="inlineStr">
        <is>
          <t>Amazon SageMaker</t>
        </is>
      </c>
      <c r="B6" s="25" t="inlineStr">
        <is>
          <t>ml.t3.xlarge, 1 data scientist, Studio Notebook instance</t>
        </is>
      </c>
      <c r="C6" s="52" t="n">
        <v>0</v>
      </c>
      <c r="D6" s="52" t="n">
        <v>6.9</v>
      </c>
      <c r="E6" s="56">
        <f>D6/$D$11</f>
        <v/>
      </c>
      <c r="F6" s="25" t="inlineStr">
        <is>
          <t>LLM evaluation (dev/offline)</t>
        </is>
      </c>
    </row>
    <row r="7" ht="30" customHeight="1">
      <c r="A7" s="25" t="inlineStr">
        <is>
          <t>Amazon DynamoDB</t>
        </is>
      </c>
      <c r="B7" s="25" t="inlineStr">
        <is>
          <t>Standard table class, 128KB avg item size, 3GB storage</t>
        </is>
      </c>
      <c r="C7" s="52" t="n">
        <v>0</v>
      </c>
      <c r="D7" s="52" t="n">
        <v>3.14</v>
      </c>
      <c r="E7" s="56">
        <f>D7/$D$11</f>
        <v/>
      </c>
      <c r="F7" s="25" t="inlineStr">
        <is>
          <t>Application/session state</t>
        </is>
      </c>
    </row>
    <row r="8" ht="30" customHeight="1">
      <c r="A8" s="25" t="inlineStr">
        <is>
          <t>Amazon ECR</t>
        </is>
      </c>
      <c r="B8" s="25" t="inlineStr">
        <is>
          <t>10GB stored per month</t>
        </is>
      </c>
      <c r="C8" s="52" t="n">
        <v>0</v>
      </c>
      <c r="D8" s="52" t="n">
        <v>1</v>
      </c>
      <c r="E8" s="56">
        <f>D8/$D$11</f>
        <v/>
      </c>
      <c r="F8" s="25" t="inlineStr">
        <is>
          <t>Container image registry</t>
        </is>
      </c>
    </row>
    <row r="9" ht="30" customHeight="1">
      <c r="A9" s="25" t="inlineStr">
        <is>
          <t>AWS Amplify</t>
        </is>
      </c>
      <c r="B9" s="25" t="inlineStr">
        <is>
          <t>Standard build (8GB/4vCPU), 500ms/request</t>
        </is>
      </c>
      <c r="C9" s="52" t="n">
        <v>0</v>
      </c>
      <c r="D9" s="52" t="n">
        <v>1.07</v>
      </c>
      <c r="E9" s="56">
        <f>D9/$D$11</f>
        <v/>
      </c>
      <c r="F9" s="25" t="inlineStr">
        <is>
          <t>Frontend hosting + CI deploy</t>
        </is>
      </c>
    </row>
    <row r="10" ht="30" customHeight="1">
      <c r="A10" s="25" t="inlineStr">
        <is>
          <t>Amazon S3</t>
        </is>
      </c>
      <c r="B10" s="25" t="inlineStr">
        <is>
          <t>Standard storage (1GB/mo), avg object 16MB, PUT/COPY/POST/LIST</t>
        </is>
      </c>
      <c r="C10" s="52" t="n">
        <v>0</v>
      </c>
      <c r="D10" s="52" t="n">
        <v>0.12</v>
      </c>
      <c r="E10" s="56">
        <f>D10/$D$11</f>
        <v/>
      </c>
      <c r="F10" s="25" t="inlineStr">
        <is>
          <t>Uploaded files + report output</t>
        </is>
      </c>
    </row>
    <row r="11" ht="30" customHeight="1">
      <c r="A11" s="45" t="inlineStr">
        <is>
          <t>TOTAL (Monthly)</t>
        </is>
      </c>
      <c r="B11" s="45" t="inlineStr"/>
      <c r="C11" s="53">
        <f>SUM(C3:C10)</f>
        <v/>
      </c>
      <c r="D11" s="53">
        <f>SUM(D3:D10)</f>
        <v/>
      </c>
      <c r="E11" s="46" t="inlineStr">
        <is>
          <t>100.0%</t>
        </is>
      </c>
      <c r="F11" s="45" t="inlineStr"/>
    </row>
    <row r="12" ht="30" customHeight="1">
      <c r="A12" s="45" t="inlineStr">
        <is>
          <t>TOTAL (12 months, incl. upfront)</t>
        </is>
      </c>
      <c r="B12" s="45" t="inlineStr"/>
      <c r="C12" s="46" t="inlineStr"/>
      <c r="D12" s="53">
        <f>D11*12</f>
        <v/>
      </c>
      <c r="E12" s="46" t="inlineStr"/>
      <c r="F12" s="45" t="inlineStr"/>
    </row>
    <row r="14" ht="22" customHeight="1">
      <c r="A14" s="42" t="inlineStr">
        <is>
          <t>2) AI Features Deep Dive — Reconciling the Bedrock Line ($86.40/mo)</t>
        </is>
      </c>
      <c r="B14" s="49" t="n"/>
      <c r="C14" s="49" t="n"/>
      <c r="D14" s="49" t="n"/>
      <c r="E14" s="49" t="n"/>
      <c r="F14" s="48" t="n"/>
    </row>
    <row r="15">
      <c r="A15" s="1" t="inlineStr">
        <is>
          <t>Metric</t>
        </is>
      </c>
      <c r="B15" s="1" t="inlineStr">
        <is>
          <t>Value</t>
        </is>
      </c>
      <c r="C15" s="1" t="inlineStr"/>
      <c r="D15" s="1" t="inlineStr"/>
      <c r="E15" s="1" t="inlineStr"/>
      <c r="F15" s="1" t="inlineStr">
        <is>
          <t>Source</t>
        </is>
      </c>
    </row>
    <row r="16" ht="30" customHeight="1">
      <c r="A16" s="25" t="inlineStr">
        <is>
          <t>Bedrock line item (calculator estimate)</t>
        </is>
      </c>
      <c r="B16" s="41" t="inlineStr">
        <is>
          <t>$86.40 / month</t>
        </is>
      </c>
      <c r="C16" s="25" t="inlineStr"/>
      <c r="D16" s="49" t="n"/>
      <c r="E16" s="48" t="n"/>
      <c r="F16" s="25" t="inlineStr">
        <is>
          <t>AWS Pricing Calculator screenshot</t>
        </is>
      </c>
    </row>
    <row r="17" ht="30" customHeight="1">
      <c r="A17" s="25" t="inlineStr">
        <is>
          <t>Our measured cost per full run (8 LLM calls, mixed model)</t>
        </is>
      </c>
      <c r="B17" s="41" t="inlineStr">
        <is>
          <t>$0.090477 / run</t>
        </is>
      </c>
      <c r="C17" s="25" t="inlineStr"/>
      <c r="D17" s="49" t="n"/>
      <c r="E17" s="48" t="n"/>
      <c r="F17" s="25" t="inlineStr">
        <is>
          <t>'Cost Per Run' sheet, real token_usage.jsonl data</t>
        </is>
      </c>
    </row>
    <row r="18" ht="30" customHeight="1">
      <c r="A18" s="25" t="inlineStr">
        <is>
          <t>Implied run volume at $86.40/mo (using our mixed-model rate)</t>
        </is>
      </c>
      <c r="B18" s="41">
        <f>86.40/0.090477</f>
        <v/>
      </c>
      <c r="C18" s="25" t="inlineStr"/>
      <c r="D18" s="49" t="n"/>
      <c r="E18" s="48" t="n"/>
      <c r="F18" s="25" t="inlineStr">
        <is>
          <t>Calculated: $86.40 ÷ $0.090477</t>
        </is>
      </c>
    </row>
    <row r="19" ht="30" customHeight="1">
      <c r="A19" s="25" t="inlineStr">
        <is>
          <t xml:space="preserve">  → runs / day (30-day month)</t>
        </is>
      </c>
      <c r="B19" s="41">
        <f>B18/30</f>
        <v/>
      </c>
      <c r="C19" s="25" t="inlineStr"/>
      <c r="D19" s="49" t="n"/>
      <c r="E19" s="48" t="n"/>
      <c r="F19" s="25" t="inlineStr"/>
    </row>
    <row r="20" ht="30" customHeight="1">
      <c r="A20" s="25" t="inlineStr">
        <is>
          <t xml:space="preserve">  → runs / hour (24/7 usage)</t>
        </is>
      </c>
      <c r="B20" s="41">
        <f>B18/730</f>
        <v/>
      </c>
      <c r="C20" s="25" t="inlineStr"/>
      <c r="D20" s="49" t="n"/>
      <c r="E20" s="48" t="n"/>
      <c r="F20" s="25" t="inlineStr"/>
    </row>
    <row r="22" ht="90" customHeight="1">
      <c r="A22" s="35" t="inlineStr">
        <is>
          <t>GAP TO RECONCILE: the calculator screenshot's Config Summary for Bedrock is truncated ("Average requests p...") and doesn't show which specific model or average token counts were used to reach $86.40/mo. Our $0.090477/run figure uses THIS project's recommended mixed-model approach (Claude Sonnet 4.5 for Planner/Formula gen, Claude Haiku 4.5 for code gen, Amazon Nova Lite/Micro for suggestions/narratives) applied to real measured token counts from one complete run. If the calculator estimate assumed a single, more expensive model (e.g. Sonnet for everything) or a different average token count per request, the implied run volume above will be off. Recommend opening the actual calculator estimate's Bedrock line to see its exact model + average-tokens-per-request inputs for a precise reconciliation.</t>
        </is>
      </c>
      <c r="B22" s="49" t="n"/>
      <c r="C22" s="49" t="n"/>
      <c r="D22" s="49" t="n"/>
      <c r="E22" s="49" t="n"/>
      <c r="F22" s="48" t="n"/>
    </row>
    <row r="24" ht="22" customHeight="1">
      <c r="A24" s="42" t="inlineStr">
        <is>
          <t>3) Bedrock Model Selection — Pending Confirmation</t>
        </is>
      </c>
      <c r="B24" s="49" t="n"/>
      <c r="C24" s="49" t="n"/>
      <c r="D24" s="49" t="n"/>
      <c r="E24" s="49" t="n"/>
      <c r="F24" s="48" t="n"/>
    </row>
    <row r="25" ht="60" customHeight="1">
      <c r="A25" s="58" t="inlineStr">
        <is>
          <t>PENDING: "Network model suggestion: Model 3 (Say) (Check with Saif / Platform)" — the specific Bedrock model tier for production has not been finalized. This estimate uses this project's own mixed-model recommendation (see 'LLM Calls - Bedrock Models' sheet) as a placeholder. Update Section 1's Bedrock line and Section 2's reconciliation once the model choice is confirmed with Saif / the Platform team.</t>
        </is>
      </c>
      <c r="B25" s="49" t="n"/>
      <c r="C25" s="49" t="n"/>
      <c r="D25" s="49" t="n"/>
      <c r="E25" s="49" t="n"/>
      <c r="F25" s="48" t="n"/>
    </row>
    <row r="27" ht="22" customHeight="1">
      <c r="A27" s="42" t="inlineStr">
        <is>
          <t>4) Region Selection — Confirmed</t>
        </is>
      </c>
      <c r="B27" s="49" t="n"/>
      <c r="C27" s="49" t="n"/>
      <c r="D27" s="49" t="n"/>
      <c r="E27" s="49" t="n"/>
      <c r="F27" s="48" t="n"/>
    </row>
    <row r="28">
      <c r="A28" s="1" t="inlineStr">
        <is>
          <t>Setting</t>
        </is>
      </c>
      <c r="B28" s="1" t="inlineStr">
        <is>
          <t>Value</t>
        </is>
      </c>
      <c r="C28" s="1" t="inlineStr"/>
      <c r="D28" s="1" t="inlineStr"/>
      <c r="E28" s="1" t="inlineStr"/>
      <c r="F28" s="1" t="inlineStr">
        <is>
          <t>Note</t>
        </is>
      </c>
    </row>
    <row r="29" ht="60" customHeight="1">
      <c r="A29" s="25" t="inlineStr">
        <is>
          <t>AWS Region</t>
        </is>
      </c>
      <c r="B29" s="25" t="inlineStr">
        <is>
          <t>Europe (Frankfurt) — eu-central-1</t>
        </is>
      </c>
      <c r="C29" s="25" t="inlineStr"/>
      <c r="D29" s="48" t="n"/>
      <c r="E29" s="25" t="inlineStr"/>
      <c r="F29" s="25" t="inlineStr">
        <is>
          <t>Confirmed. Earlier draft estimates in this workbook assumed us-east-1 pricing (e.g. EC2 ~$30/mo for a t3.medium) — the real Frankfurt estimate above ($63.97/mo EC2) reflects actual eu-central-1 rates and instance sizing and should be treated as authoritative over any earlier us-east-1 assumption in this workbook.</t>
        </is>
      </c>
    </row>
    <row r="31" ht="60" customHeight="1">
      <c r="A31" s="25" t="inlineStr">
        <is>
          <t>Source: AWS Pricing Calculator (calculator.aws) estimate screenshot, Europe (Frankfurt) region, Upfront $0.00 / Monthly $171.40 / 12-month total $2,056.80. Transcribed here for reference — verify against the live calculator.aws estimate link before using for budgeting, since these figures reflect one specific configuration snapshot and will drift if instance sizes, DPU counts, or request volumes change.</t>
        </is>
      </c>
      <c r="B31" s="49" t="n"/>
      <c r="C31" s="49" t="n"/>
      <c r="D31" s="49" t="n"/>
      <c r="E31" s="49" t="n"/>
      <c r="F31" s="48" t="n"/>
    </row>
  </sheetData>
  <mergeCells count="13">
    <mergeCell ref="C16:E16"/>
    <mergeCell ref="A24:F24"/>
    <mergeCell ref="C29:D29"/>
    <mergeCell ref="C19:E19"/>
    <mergeCell ref="A14:F14"/>
    <mergeCell ref="A1:F1"/>
    <mergeCell ref="A27:F27"/>
    <mergeCell ref="C18:E18"/>
    <mergeCell ref="A31:F31"/>
    <mergeCell ref="C17:E17"/>
    <mergeCell ref="A22:F22"/>
    <mergeCell ref="C20:E20"/>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34" customWidth="1" min="3" max="3"/>
    <col width="20" customWidth="1" min="4" max="4"/>
    <col width="10" customWidth="1" min="5" max="5"/>
    <col width="12" customWidth="1" min="6" max="6"/>
    <col width="46" customWidth="1" min="7" max="7"/>
    <col width="46" customWidth="1" min="8" max="8"/>
    <col width="12" customWidth="1" min="9" max="9"/>
    <col width="12" customWidth="1" min="10" max="10"/>
    <col width="42" customWidth="1" min="11" max="11"/>
  </cols>
  <sheetData>
    <row r="1">
      <c r="A1" s="59" t="inlineStr">
        <is>
          <t>AI Call Input / Output Reference -- current code (branch: enhanced-with-agents)</t>
        </is>
      </c>
    </row>
    <row r="2" ht="42" customHeight="1">
      <c r="A2" s="60" t="inlineStr">
        <is>
          <t>Schemas below are field name + type only -- no sample/domain data values. Traced directly from backend/app/services/*.py on 2026-09-22. This reflects the CURRENT implementation and uses different module names than the 'LLM Prompts' / 'LLM Calls - Bedrock Models' sheets in this workbook, which document an earlier/conceptual pipeline design (orchestrator_agent.py, pivot_suggester.py, formula_agent.py, kpi_store, etc.) that no longer matches this branch's source.</t>
        </is>
      </c>
    </row>
    <row r="3" ht="30" customHeight="1">
      <c r="A3" s="60" t="inlineStr">
        <is>
          <t>Token estimates = (Input or Output total) / (Calls) from the session usage log provided (82 calls total, 128,176 input / 8,771 output tokens), per named call row. They are one sample run's average, not a guaranteed per-call cost -- actual tokens vary with dataset size and column count.</t>
        </is>
      </c>
    </row>
    <row r="5" ht="30" customHeight="1">
      <c r="A5" s="61" t="inlineStr">
        <is>
          <t>#</t>
        </is>
      </c>
      <c r="B5" s="62" t="inlineStr">
        <is>
          <t>AI Call</t>
        </is>
      </c>
      <c r="C5" s="62" t="inlineStr">
        <is>
          <t>Backend Function (file -&gt; function)</t>
        </is>
      </c>
      <c r="D5" s="61" t="inlineStr">
        <is>
          <t>Model</t>
        </is>
      </c>
      <c r="E5" s="61" t="inlineStr">
        <is>
          <t>LLM Call?</t>
        </is>
      </c>
      <c r="F5" s="61" t="inlineStr">
        <is>
          <t>Calls in sample log (of 82)</t>
        </is>
      </c>
      <c r="G5" s="62" t="inlineStr">
        <is>
          <t>Input JSON -- Fields</t>
        </is>
      </c>
      <c r="H5" s="62" t="inlineStr">
        <is>
          <t>Output -- Fields</t>
        </is>
      </c>
      <c r="I5" s="61" t="inlineStr">
        <is>
          <t>Est. Input Tokens / Run</t>
        </is>
      </c>
      <c r="J5" s="61" t="inlineStr">
        <is>
          <t>Est. Output Tokens / Run</t>
        </is>
      </c>
      <c r="K5" s="62" t="inlineStr">
        <is>
          <t>Notes</t>
        </is>
      </c>
    </row>
    <row r="6" ht="88" customHeight="1">
      <c r="A6" s="63" t="n">
        <v>1</v>
      </c>
      <c r="B6" s="64" t="inlineStr">
        <is>
          <t>Outlier Summary / Action Recommendation</t>
        </is>
      </c>
      <c r="C6" s="65" t="inlineStr">
        <is>
          <t>audit_agent.py -&gt; generate_audit_analysis()</t>
        </is>
      </c>
      <c r="D6" s="63" t="inlineStr">
        <is>
          <t>gemini-2.5-flash-lite (Groq)</t>
        </is>
      </c>
      <c r="E6" s="63" t="inlineStr">
        <is>
          <t>Yes</t>
        </is>
      </c>
      <c r="F6" s="63" t="n">
        <v>1</v>
      </c>
      <c r="G6" s="65" t="inlineStr">
        <is>
          <t>{"source": "upload", "filename": "shipments_q1.xlsx", "row_count": 5000, "column_count": 42,
 "issues": [{"id": "high_null_columns", "category": "high_null_columns", "severity": "medium",
   "title": "3 columns are mostly empty",
   "description": "Sensor Battery %, Backup GPS ID, Notes are missing 82-95% of values.",
   "affected_row_count": 3, "requires_decision": true,
   "options": [{"id": "drop_selected", "label": "Drop selected columns"}, {"id": "keep", "label": "Keep as-is"}]}]}</t>
        </is>
      </c>
      <c r="H6" s="65" t="inlineStr">
        <is>
          <t>{"summary": "The export is largely clean once the mostly-empty columns are dropped; core shipment and compliance fields are complete.",
 "recommendations": {"high_null_columns": {"action": "drop_selected", "note": "82-95% missing across all 3 columns, no usable signal."}}}</t>
        </is>
      </c>
      <c r="I6" s="63" t="n">
        <v>1324</v>
      </c>
      <c r="J6" s="63" t="n">
        <v>179</v>
      </c>
      <c r="K6" s="65" t="inlineStr">
        <is>
          <t>Log row 'Audit Agent' -- the only Groq (not OpenRouter) call in the pipeline. Findings themselves come from deterministic data_audit.py; this call only narrates + recommends, never invents a finding.</t>
        </is>
      </c>
    </row>
    <row r="7" ht="60" customHeight="1">
      <c r="A7" s="63" t="n">
        <v>2</v>
      </c>
      <c r="B7" s="64" t="inlineStr">
        <is>
          <t>Planner Agent</t>
        </is>
      </c>
      <c r="C7" s="65" t="inlineStr">
        <is>
          <t>planner.py -&gt; suggest()</t>
        </is>
      </c>
      <c r="D7" s="63" t="inlineStr">
        <is>
          <t>gpt-4o-mini (OpenRouter)</t>
        </is>
      </c>
      <c r="E7" s="63" t="inlineStr">
        <is>
          <t>Yes</t>
        </is>
      </c>
      <c r="F7" s="63" t="n">
        <v>1</v>
      </c>
      <c r="G7" s="65" t="inlineStr">
        <is>
          <t>Same input example as 'Planner-Suggested Analysis' above.</t>
        </is>
      </c>
      <c r="H7" s="65" t="inlineStr">
        <is>
          <t>Same output example as 'Planner-Suggested Analysis' above (feature, analysis, feature_and_analysis, or configuration recommendations in one response).</t>
        </is>
      </c>
      <c r="I7" s="63" t="n">
        <v>3147</v>
      </c>
      <c r="J7" s="63" t="n">
        <v>719</v>
      </c>
      <c r="K7" s="65" t="inlineStr">
        <is>
          <t>Same underlying call as the 'Planner-Suggested Analysis' row -- listed separately since it's requested as its own item; not a second, distinct call.</t>
        </is>
      </c>
    </row>
    <row r="8" ht="340" customHeight="1">
      <c r="A8" s="63" t="n">
        <v>3</v>
      </c>
      <c r="B8" s="64" t="inlineStr">
        <is>
          <t>Planner-Suggested Analysis</t>
        </is>
      </c>
      <c r="C8" s="65" t="inlineStr">
        <is>
          <t>planner.py -&gt; suggest() + _attach_generated_formulas() (calls analysis_agent.think())</t>
        </is>
      </c>
      <c r="D8" s="63" t="inlineStr">
        <is>
          <t>gpt-4o-mini (OpenRouter)</t>
        </is>
      </c>
      <c r="E8" s="63" t="inlineStr">
        <is>
          <t>Yes</t>
        </is>
      </c>
      <c r="F8" s="63" t="n">
        <v>1</v>
      </c>
      <c r="G8" s="65" t="inlineStr">
        <is>
          <t>{"client_brief": "We need to know which carriers are driving cold-chain excursions in South America.",
 "column_catalog": Column metadata as text lines (name, dtype, role, missing %, unique count, top values/range, unit),
 "existing_features_analyses": ["Carrier Compliance Ranking (analysis) | group_by=[Carrier] | metrics=[% In Spec, Serial Number]"],
 "additional_context": "Focus on South America only."}</t>
        </is>
      </c>
      <c r="H8" s="65" t="inlineStr">
        <is>
          <t>{"interpreted_requirement": "Identify carriers driving cold-chain excursions in South America and add a per-carrier compliance-rate metric.",
 "business_objective": "Reduce compliance risk by targeting underperforming carriers for corrective action.",
 "recommendations": [
   {"type": "feature_and_analysis", "status": "create_new", "name": "Compliance Rate by Carrier",
    "confidence": 88, "feature_definition": {"feature_name": "compliance_rate",
      "formula": "Percentage of shipments per carrier that stayed within temperature spec.",
      "input_fields": ["Carrier", "% In Spec"], "dimensions": [], "filters": [], "business_rules": []},
    "analysis_definition": {"analysis_name": "Compliance Rate by Carrier", "objective": "Rank carriers by compliance rate.",
      "metrics": ["compliance_rate"], "dimensions": ["Carrier"], "filters": [], "visualization": "bar",
      "group_by": ["Carrier"], "sort_by": ["compliance_rate"],
      "generated_formula": "1. Group by Carrier.
2. Compute mean of % In Spec as compliance_rate."},
    "configuration": null,
    "data_requirements": {"required_fields": ["Carrier", "% In Spec"], "missing_fields": []},
    "validation": {"issues": [], "warnings": [], "clarifications_required": []}},
   "... 3 more type=feature/feature_and_analysis recommendations ...",
   {"type": "analysis", "status": "create_new", "name": "Shipments by Origin (South America)",
    "confidence": 91, "feature_definition": null,
    "analysis_definition": {"analysis_name": "Shipments by Origin (South America)",
      "objective": "Count shipments per South American origin.", "metrics": ["Serial Number"],
      "dimensions": ["Origin"], "filters": [{"column": "Origin", "op": "in", "value": ["Chile", "Peru", "Colombia"]}],
      "visualization": "bar", "group_by": ["Origin"], "sort_by": ["Serial Number"], "generated_formula": null},
    "configuration": null,
    "data_requirements": {"required_fields": ["Origin", "Serial Number"], "missing_fields": []},
    "validation": {"issues": [], "warnings": [], "clarifications_required": []}},
   "... 3 more type=analysis recommendations (exactly 4 analysis + 4 feature/feature_and_analysis = 8 total) ..."
]}</t>
        </is>
      </c>
      <c r="I8" s="63" t="n">
        <v>3147</v>
      </c>
      <c r="J8" s="63" t="n">
        <v>719</v>
      </c>
      <c r="K8" s="65" t="inlineStr">
        <is>
          <t>Primary call = log row 'Planner Agent'. The prompt enforces a HARD QUOTA: exactly 8 recommendations total, exactly 4 typed 'analysis' and exactly 4 typed 'feature'/'feature_and_analysis' -- a mandatory split, not a soft suggestion. analysis_definition.generated_formula is then filled in by one extra 'Analysis Agent -- Think' call per accepted analysis recommendation (see row above).</t>
        </is>
      </c>
    </row>
    <row r="9" ht="88" customHeight="1">
      <c r="A9" s="63" t="n">
        <v>4</v>
      </c>
      <c r="B9" s="64" t="inlineStr">
        <is>
          <t>AI Feature Suggestion</t>
        </is>
      </c>
      <c r="C9" s="65" t="inlineStr">
        <is>
          <t>feature_suggester.py -&gt; suggest_features()</t>
        </is>
      </c>
      <c r="D9" s="63" t="inlineStr">
        <is>
          <t>gpt-4o-mini (OpenRouter)</t>
        </is>
      </c>
      <c r="E9" s="63" t="inlineStr">
        <is>
          <t>Yes</t>
        </is>
      </c>
      <c r="F9" s="63" t="n">
        <v>1</v>
      </c>
      <c r="G9" s="65" t="inlineStr">
        <is>
          <t>Column metadata for every column in the dataframe (name, dtype, sample values).</t>
        </is>
      </c>
      <c r="H9" s="65" t="inlineStr">
        <is>
          <t>{"suggestions": [
  {"name": "Time in Transit", "description": "Hours between departure and arrival scans.",
   "output_column": "time_in_transit_hours",
   "calculation_intent": "Difference between Arrival Date and Departure Date, in hours.",
   "input_columns": ["Departure Date", "Arrival Date"]}
]}  (up to 5)</t>
        </is>
      </c>
      <c r="I9" s="63" t="n">
        <v>1595</v>
      </c>
      <c r="J9" s="63" t="n">
        <v>381</v>
      </c>
      <c r="K9" s="65" t="inlineStr">
        <is>
          <t>Log row 'Feature Suggester'. Suggestions naming a non-existent column are filtered out before being shown; duplicates of an existing output_column are skipped by feature_repository.</t>
        </is>
      </c>
    </row>
    <row r="10" ht="75" customHeight="1">
      <c r="A10" s="63" t="n">
        <v>5</v>
      </c>
      <c r="B10" s="64" t="inlineStr">
        <is>
          <t>User-Requested Feature</t>
        </is>
      </c>
      <c r="C10" s="65" t="inlineStr">
        <is>
          <t>routers/features.py -&gt; add_custom_feature()  -&gt;  feature_repository.add_custom_entry()</t>
        </is>
      </c>
      <c r="D10" s="66" t="inlineStr">
        <is>
          <t>N/A -- no LLM call</t>
        </is>
      </c>
      <c r="E10" s="63" t="inlineStr">
        <is>
          <t>No</t>
        </is>
      </c>
      <c r="F10" s="63" t="n">
        <v>0</v>
      </c>
      <c r="G10" s="65" t="inlineStr">
        <is>
          <t>{"name": "Time in Transit", "description": "",
 "calculation_intent": "Hours between departure and arrival",
 "input_columns": ["Departure Date", "Arrival Date"]}</t>
        </is>
      </c>
      <c r="H10" s="65" t="inlineStr">
        <is>
          <t>Success: {"id": "custom_a1b2c3d4", "source": "custom", "status": "approved",
 "name": "Time in Transit", "description": "Hours between departure and arrival",
 "output_column": "time_in_transit", "calculation_intent": "Hours between departure and arrival",
 "input_columns": ["Departure Date", "Arrival Date"], "formula": null}
Error (422): {"detail": "Give the KPI a name."}</t>
        </is>
      </c>
      <c r="I10" s="66" t="inlineStr">
        <is>
          <t>n/a</t>
        </is>
      </c>
      <c r="J10" s="66" t="inlineStr">
        <is>
          <t>n/a</t>
        </is>
      </c>
      <c r="K10" s="65" t="inlineStr">
        <is>
          <t>Deterministic intake + validation only, matching this workbook's own 'ROW 17' note that the KPI-Store equivalence check happens before any LLM call. The PM's typed request only reaches an LLM later, when the entry is computed (Feature Agent -- Think, see 'Write Feature Code' row).</t>
        </is>
      </c>
    </row>
    <row r="11" ht="60" customHeight="1">
      <c r="A11" s="63" t="n">
        <v>6</v>
      </c>
      <c r="B11" s="64" t="inlineStr">
        <is>
          <t>Generate Feature Formula / Spec</t>
        </is>
      </c>
      <c r="C11" s="65" t="inlineStr">
        <is>
          <t>feature_definitions_store.py -&gt; validate()  (Customer KPI Profile upload)</t>
        </is>
      </c>
      <c r="D11" s="66" t="inlineStr">
        <is>
          <t>N/A -- no LLM call</t>
        </is>
      </c>
      <c r="E11" s="63" t="inlineStr">
        <is>
          <t>No</t>
        </is>
      </c>
      <c r="F11" s="63" t="n">
        <v>0</v>
      </c>
      <c r="G11" s="65" t="inlineStr">
        <is>
          <t>{"features": [{"id": "pct_in_spec", "name": "% In Spec", "description": "Share of transit time within temperature spec.",
 "output_column": "% In Spec", "type": "ratio",
 "numerator_columns": ["Minutes In Spec"], "denominator_columns": ["Total Transit Minutes"]}]}</t>
        </is>
      </c>
      <c r="H11" s="65" t="inlineStr">
        <is>
          <t>Deterministic type (ratio here) -&gt; formula is derived in code, no LLM:
  "Compute (sum of Minutes In Spec) divided by (sum of Total Transit Minutes), times 100, as a percentage. Leave it blank where the denominator is 0."
ai_generated type would instead keep formula null and carry its calculation_prompt forward as calculation_intent for the Feature Agent to think through at compute time.</t>
        </is>
      </c>
      <c r="I11" s="66" t="inlineStr">
        <is>
          <t>n/a</t>
        </is>
      </c>
      <c r="J11" s="66" t="inlineStr">
        <is>
          <t>n/a</t>
        </is>
      </c>
      <c r="K11" s="65" t="inlineStr">
        <is>
          <t>This is a file-upload schema validated against SUPPORTED_TYPES, not a chat call -- 'deterministic template + parameters vs. ai_generated + calculation prompt' is literally this file format's own two-path design, described here as-is per this workbook's request to include it.</t>
        </is>
      </c>
    </row>
    <row r="12" ht="140" customHeight="1">
      <c r="A12" s="63" t="n">
        <v>7</v>
      </c>
      <c r="B12" s="64" t="inlineStr">
        <is>
          <t>Write Feature Code</t>
        </is>
      </c>
      <c r="C12" s="65" t="inlineStr">
        <is>
          <t>feature_agent.py -&gt; think()  then  generate_code()  then  validate()</t>
        </is>
      </c>
      <c r="D12" s="63" t="inlineStr">
        <is>
          <t>gpt-4o-mini (OpenRouter)</t>
        </is>
      </c>
      <c r="E12" s="63" t="inlineStr">
        <is>
          <t>Yes</t>
        </is>
      </c>
      <c r="F12" s="63" t="inlineStr">
        <is>
          <t>7 + 21 + 20</t>
        </is>
      </c>
      <c r="G12" s="65" t="inlineStr">
        <is>
          <t>Think: {"name": "Time in Transit", "output_column": "time_in_transit_hours", "description": "",
 "calculation_intent": "Hours between departure and arrival",
 "input_columns": ["Departure Date", "Arrival Date"],
 "columns_catalog": Column metadata (name, dtype, sample values), "feedback": null}
Write Code: {"plan": "1. Compute Arrival Date minus Departure Date.\n2. Convert the timedelta to hours.",
 "output_column": "time_in_transit_hours", "columns_catalog": Column metadata (name, dtype), "feedback": null}
Validate: {"plan": "...", "feature": "Time in Transit -&gt; time_in_transit_hours",
 "sample_block": "preview rows: Departure Date, Arrival Date, time_in_transit_hours"}</t>
        </is>
      </c>
      <c r="H12" s="65" t="inlineStr">
        <is>
          <t>Think: {"steps": ["Compute Arrival Date minus Departure Date.", "Convert the timedelta to hours."],
 "columns_used": ["Departure Date", "Arrival Date"], "output_dtype": "numeric",
 "plan": "1. Compute Arrival Date minus Departure Date.\n2. Convert the timedelta to hours."}
Write Code: raw Python, e.g.
  result = (df['Arrival Date'] - df['Departure Date']).dt.total_seconds() / 3600
Validate: {"valid": true, "reason": "Values are positive and in a plausible 6-96 hour transit range."}</t>
        </is>
      </c>
      <c r="I12" s="63" t="inlineStr">
        <is>
          <t>Think ~1997 / Code ~2138 / Validate ~696</t>
        </is>
      </c>
      <c r="J12" s="63" t="inlineStr">
        <is>
          <t>Think ~97 / Code ~124 / Validate ~35</t>
        </is>
      </c>
      <c r="K12" s="65" t="inlineStr">
        <is>
          <t>Log rows 'Feature Agent -- Think' + 'Feature Agent -- Write Code' + 'Feature Agent -- Validate'. Skipped for entries with a pre-set formula (predefined/planner) -- only Write Code + Validate run then, retried up to 3x against the fixed plan before falling back to a fresh Think.</t>
        </is>
      </c>
    </row>
    <row r="13" ht="88" customHeight="1">
      <c r="A13" s="63" t="n">
        <v>8</v>
      </c>
      <c r="B13" s="64" t="inlineStr">
        <is>
          <t>AI Analysis Suggestion</t>
        </is>
      </c>
      <c r="C13" s="65" t="inlineStr">
        <is>
          <t>analysis_suggester.py -&gt; suggest_analyses()</t>
        </is>
      </c>
      <c r="D13" s="63" t="inlineStr">
        <is>
          <t>gpt-4o-mini (OpenRouter)</t>
        </is>
      </c>
      <c r="E13" s="63" t="inlineStr">
        <is>
          <t>Yes</t>
        </is>
      </c>
      <c r="F13" s="63" t="n">
        <v>1</v>
      </c>
      <c r="G13" s="65" t="inlineStr">
        <is>
          <t>Column metadata for every column in the dataframe (name, dtype, sample values).</t>
        </is>
      </c>
      <c r="H13" s="65" t="inlineStr">
        <is>
          <t>{"suggestions": [
  {"name": "Carrier Compliance Ranking",
   "description": "Ranks carriers by average % In Spec and shipment volume.",
   "calculation_intent": "Group by Carrier; compute mean of % In Spec and count of Serial Number.",
   "input_columns": ["Carrier", "% In Spec", "Serial Number"]}
]}</t>
        </is>
      </c>
      <c r="I13" s="63" t="n">
        <v>1653</v>
      </c>
      <c r="J13" s="63" t="n">
        <v>311</v>
      </c>
      <c r="K13" s="65" t="inlineStr">
        <is>
          <t>Log row 'Analysis Suggester'. Parsed with json.loads, no Pydantic model. Any suggestion whose input_columns aren't all real dataframe columns is dropped in code.</t>
        </is>
      </c>
    </row>
    <row r="14" ht="114" customHeight="1">
      <c r="A14" s="63" t="n">
        <v>9</v>
      </c>
      <c r="B14" s="64" t="inlineStr">
        <is>
          <t>User-Requested Analysis</t>
        </is>
      </c>
      <c r="C14" s="65" t="inlineStr">
        <is>
          <t>analysis_agent.py -&gt; think()  (intake itself, add_custom_entry, is not an LLM call)</t>
        </is>
      </c>
      <c r="D14" s="63" t="inlineStr">
        <is>
          <t>gpt-4o-mini (OpenRouter)</t>
        </is>
      </c>
      <c r="E14" s="63" t="inlineStr">
        <is>
          <t>Yes</t>
        </is>
      </c>
      <c r="F14" s="63" t="n">
        <v>8</v>
      </c>
      <c r="G14" s="65" t="inlineStr">
        <is>
          <t>{"name": "Carrier On-Time Rate - Chile Q1",
 "description": "",
 "calculation_intent": "Which carrier has the worst on-time delivery rate for reefer shipments from Chile in Q1?",
 "input_columns": ["Carrier", "Origin", "Arrival Month", "On Time Flag"],
 "columns_catalog": Column metadata (name, dtype, sample values),
 "feedback": null}</t>
        </is>
      </c>
      <c r="H14" s="65" t="inlineStr">
        <is>
          <t>{"steps": [
   "Filter rows where Origin == 'Chile' and Arrival Month in ['Jan','Feb','Mar']",
   "Group by Carrier",
   "Compute mean of On Time Flag as On-Time Rate",
   "Sort ascending by On-Time Rate"],
 "group_by": ["Carrier"],
 "metrics": ["mean(On Time Flag) as On-Time Rate"],
 "plan": "1. Filter rows where Origin == 'Chile'...\n2. Group by Carrier...\n3. ..."}</t>
        </is>
      </c>
      <c r="I14" s="63" t="n">
        <v>1981</v>
      </c>
      <c r="J14" s="63" t="n">
        <v>191</v>
      </c>
      <c r="K14" s="65" t="inlineStr">
        <is>
          <t>Log row 'Analysis Agent -- Think', shared by this call, by Planner-Suggested Analysis's generated_formula step, and by AI Drafts Formula/Spec's think stage -- one function, three entry points.</t>
        </is>
      </c>
    </row>
    <row r="15" ht="114" customHeight="1">
      <c r="A15" s="63" t="n">
        <v>10</v>
      </c>
      <c r="B15" s="64" t="inlineStr">
        <is>
          <t>Chart Suggestion</t>
        </is>
      </c>
      <c r="C15" s="65" t="inlineStr">
        <is>
          <t>analysis_agent.py -&gt; choose_chart_type() + generate_chart_spec()</t>
        </is>
      </c>
      <c r="D15" s="63" t="inlineStr">
        <is>
          <t>gpt-4o-mini (OpenRouter)</t>
        </is>
      </c>
      <c r="E15" s="63" t="inlineStr">
        <is>
          <t>Yes</t>
        </is>
      </c>
      <c r="F15" s="63" t="inlineStr">
        <is>
          <t>2 + 2</t>
        </is>
      </c>
      <c r="G15" s="65" t="inlineStr">
        <is>
          <t>Call 1 (type): {"analysis_name": "Carrier Compliance Ranking",
 "plan": "1. Group by Carrier.\n2. Compute mean of % In Spec.\n3. Compute count of Serial Number.\n4. Sort descending by shipment count.",
 "table_sample": [{"Carrier": "TransCold", "% In Spec": 96.4, "# Transporte": 412},
                  {"Carrier": "IceLine", "% In Spec": 89.1, "# Transporte": 355},
                  {"Carrier": "Carrier1", "% In Spec": 93.7, "# Transporte": 298}]}
Call 2 (spec): same 3 fields + chart_type: "grouped_bar"</t>
        </is>
      </c>
      <c r="H15" s="65" t="inlineStr">
        <is>
          <t>Call 1: {"chart_type": "grouped_bar",
 "reason": "Two metrics across the same categories compare best as grouped bars."}
Call 2: {"data": [
   {"type": "bar", "x": ["TransCold","IceLine","Carrier1"], "y": [96.4,89.1,93.7], "name": "% In Spec"},
   {"type": "bar", "x": ["TransCold","IceLine","Carrier1"], "y": [412,355,298], "name": "# Transporte"}],
 "layout": {"title": "Carrier Compliance Ranking", "barmode": "group",
   "xaxis": {"title": "Carrier"}, "yaxis": {"title": "Value"}}}</t>
        </is>
      </c>
      <c r="I15" s="63" t="inlineStr">
        <is>
          <t>Type ~389 / Spec ~460</t>
        </is>
      </c>
      <c r="J15" s="63" t="inlineStr">
        <is>
          <t>Type ~25 / Spec ~104</t>
        </is>
      </c>
      <c r="K15" s="65" t="inlineStr">
        <is>
          <t>Log rows 'Analysis Agent -- Chart Type' + 'Analysis Agent -- Chart Spec'. layout is sanitized server-side -- only title/barmode and axis titles survive; anything else the model returns is stripped.</t>
        </is>
      </c>
    </row>
    <row r="16" ht="75" customHeight="1">
      <c r="A16" s="63" t="n">
        <v>11</v>
      </c>
      <c r="B16" s="64" t="inlineStr">
        <is>
          <t>AI Drafts Formula / Spec</t>
        </is>
      </c>
      <c r="C16" s="65" t="inlineStr">
        <is>
          <t>analysis_agent.py -&gt; think() + generate_code()  (Think -&gt; Code loop, DataFrame contract)</t>
        </is>
      </c>
      <c r="D16" s="63" t="inlineStr">
        <is>
          <t>gpt-4o-mini (OpenRouter)</t>
        </is>
      </c>
      <c r="E16" s="63" t="inlineStr">
        <is>
          <t>Yes</t>
        </is>
      </c>
      <c r="F16" s="63" t="inlineStr">
        <is>
          <t>8 (shared) + 14</t>
        </is>
      </c>
      <c r="G16" s="65" t="inlineStr">
        <is>
          <t>Think: see 'User-Requested Analysis' row above.
Code: {"plan": "1. Group by Carrier.\n2. Compute mean of % In Spec.\n3. Compute count of Serial Number.",
 "columns_catalog": Column metadata (name, dtype), "feedback": null}</t>
        </is>
      </c>
      <c r="H16" s="65" t="inlineStr">
        <is>
          <t>Think: see 'User-Requested Analysis' row above.
Code: raw Python source (not JSON), e.g.
  result = df.groupby('Carrier').agg(**{'% In Spec': ('% In Spec','mean'),
    '# Transporte': ('Serial Number','count')}).reset_index().sort_values('# Transporte', ascending=False)
  No Pydantic schema; validated deterministically (non-empty DataFrame + &gt;=1 numeric column).</t>
        </is>
      </c>
      <c r="I16" s="63" t="inlineStr">
        <is>
          <t>Think ~1981 (shared) / Code ~1844</t>
        </is>
      </c>
      <c r="J16" s="63" t="inlineStr">
        <is>
          <t>Think ~191 (shared) / Code ~56</t>
        </is>
      </c>
      <c r="K16" s="65" t="inlineStr">
        <is>
          <t>Log rows 'Analysis Agent -- Think' (shared) + 'Analysis Agent -- Write Code'. 'Expressible + validated' = a successful sandboxed run of this code, not a JSON contract.</t>
        </is>
      </c>
    </row>
    <row r="17" ht="101" customHeight="1">
      <c r="A17" s="63" t="n">
        <v>12</v>
      </c>
      <c r="B17" s="64" t="inlineStr">
        <is>
          <t>Write Custom Python</t>
        </is>
      </c>
      <c r="C17" s="65" t="inlineStr">
        <is>
          <t>analysis_agent.py -&gt; generate_code()  (table)  and  feature_agent.py -&gt; generate_code()  (per-row series)</t>
        </is>
      </c>
      <c r="D17" s="63" t="inlineStr">
        <is>
          <t>gpt-4o-mini (OpenRouter)</t>
        </is>
      </c>
      <c r="E17" s="63" t="inlineStr">
        <is>
          <t>Yes</t>
        </is>
      </c>
      <c r="F17" s="63" t="inlineStr">
        <is>
          <t>14 + 21</t>
        </is>
      </c>
      <c r="G17" s="65" t="inlineStr">
        <is>
          <t>Analysis: {"plan": "1. Group by Carrier.
2. Compute mean of % In Spec.", "columns_catalog": Column metadata (name, dtype), "feedback": null}
  (no output_column field -- the analysis code variant never takes one)
Feature: {"plan": "1. Compare Peak Temp (C) to 8.
2. Compare Max Temp Excursion (min) to 30.
3. Flag rows where both are true.", "output_column": "Breach", "columns_catalog": Column metadata (name, dtype), "feedback": null}</t>
        </is>
      </c>
      <c r="H17" s="65" t="inlineStr">
        <is>
          <t>Raw Python source text (not JSON), two possible contracts only:
  Analysis: result = df.assign(Breach=((df['Peak Temp (C)']&gt;8)&amp;(df['Max Temp Excursion (min)']&gt;30)))
    -&gt; executor returns rows: [{"Carrier": "TransCold", "Peak Temp (C)": 9.1, "Breach": true}, ...] (capped 500)
  Feature: result = (df['Peak Temp (C)']&gt;8)&amp;(df['Max Temp Excursion (min)']&gt;30)  (pandas.Series, len == len(df))
    -&gt; executor returns one value per row
(No bare dict/scalar return mode exists in this codebase.)</t>
        </is>
      </c>
      <c r="I17" s="63" t="inlineStr">
        <is>
          <t>Analysis ~1844 / Feature ~2138</t>
        </is>
      </c>
      <c r="J17" s="63" t="inlineStr">
        <is>
          <t>Analysis ~56 / Feature ~124</t>
        </is>
      </c>
      <c r="K17" s="65" t="inlineStr">
        <is>
          <t>Log rows 'Analysis Agent -- Write Code' + 'Feature Agent -- Write Code'. AST-sandboxed: blocks imports, loops, def/class, with, eval/exec/open, and a name/attribute blocklist (ai_code_executor.py).</t>
        </is>
      </c>
    </row>
    <row r="18" ht="75" customHeight="1">
      <c r="A18" s="63" t="n">
        <v>13</v>
      </c>
      <c r="B18" s="64" t="inlineStr">
        <is>
          <t>Chart Interpretation</t>
        </is>
      </c>
      <c r="C18" s="65" t="inlineStr">
        <is>
          <t>analysis_agent.py -&gt; interpret()</t>
        </is>
      </c>
      <c r="D18" s="63" t="inlineStr">
        <is>
          <t>gpt-4o-mini (OpenRouter)</t>
        </is>
      </c>
      <c r="E18" s="63" t="inlineStr">
        <is>
          <t>Yes</t>
        </is>
      </c>
      <c r="F18" s="63" t="n">
        <v>1</v>
      </c>
      <c r="G18" s="65" t="inlineStr">
        <is>
          <t>{"analysis_name": "Carrier Compliance Ranking",
 "plan": "1. Group by Carrier.\n2. Compute mean of % In Spec.\n3. Compute count of Serial Number.",
 "chart_type": "grouped_bar",
 "table_sample": [{"Carrier": "TransCold", "% In Spec": 96.4, "# Transporte": 412},
                  {"Carrier": "IceLine", "% In Spec": 89.1, "# Transporte": 355}]}</t>
        </is>
      </c>
      <c r="H18" s="65" t="inlineStr">
        <is>
          <t>Plain text string, 2-4 sentences (json_mode=False), e.g.:
"TransCold leads compliance at 96.4% In Spec while also handling the highest shipment volume. IceLine lags well behind at 89.1% despite comparable volume, making it the primary compliance risk to address first."</t>
        </is>
      </c>
      <c r="I18" s="63" t="n">
        <v>546</v>
      </c>
      <c r="J18" s="63" t="n">
        <v>188</v>
      </c>
      <c r="K18" s="65" t="inlineStr">
        <is>
          <t>Log row 'Analysis Agent -- Interpret'. Corrects the '1-2 sentence' framing in the earlier list -- the system prompt asks for 2-4 sentences.</t>
        </is>
      </c>
    </row>
    <row r="19" ht="114" customHeight="1">
      <c r="A19" s="63" t="n">
        <v>14</v>
      </c>
      <c r="B19" s="64" t="inlineStr">
        <is>
          <t>Drill-Down Suggestions</t>
        </is>
      </c>
      <c r="C19" s="65" t="inlineStr">
        <is>
          <t>analysis_agent.py -&gt; suggest_drilldowns()</t>
        </is>
      </c>
      <c r="D19" s="63" t="inlineStr">
        <is>
          <t>gpt-4o-mini (OpenRouter)</t>
        </is>
      </c>
      <c r="E19" s="63" t="inlineStr">
        <is>
          <t>Yes</t>
        </is>
      </c>
      <c r="F19" s="63" t="n">
        <v>2</v>
      </c>
      <c r="G19" s="65" t="inlineStr">
        <is>
          <t>{"analysis_name": "Carrier Compliance Ranking",
 "plan": "1. Group by Carrier.\n2. Compute mean of % In Spec.\n3. Compute count of Serial Number.",
 "table_sample": [{"Carrier": "TransCold", "% In Spec": 96.4}, {"Carrier": "IceLine", "% In Spec": 89.1}],
 "interpretation": "IceLine lags well behind at 89.1% despite comparable volume, making it the primary compliance risk.",
 "columns_catalog": Column metadata (name, dtype, sample values)}</t>
        </is>
      </c>
      <c r="H19" s="65" t="inlineStr">
        <is>
          <t>{"drilldowns": [
  {"name": "IceLine Compliance by Origin",
   "description": "Breaks down IceLine's % In Spec across shipping origins.",
   "calculation_intent": "Filter to Carrier == 'IceLine', group by Origin, compute mean % In Spec."},
  {"name": "IceLine Compliance by Product",
   "description": "Breaks down IceLine's % In Spec across product lines.",
   "calculation_intent": "Filter to Carrier == 'IceLine', group by Product, compute mean % In Spec."}
]}</t>
        </is>
      </c>
      <c r="I19" s="63" t="n">
        <v>1878</v>
      </c>
      <c r="J19" s="63" t="n">
        <v>226</v>
      </c>
      <c r="K19" s="65" t="inlineStr">
        <is>
          <t>Log row 'Analysis Agent -- Drilldown'. Capped at 3 candidates in code (candidates[:3]), not 4. Each accepted one becomes an AnalysisDrilldownSuggestion (adds id, triggered, child_entry_id) on trigger.</t>
        </is>
      </c>
    </row>
    <row r="20" ht="90" customHeight="1">
      <c r="A20" s="63" t="n">
        <v>15</v>
      </c>
      <c r="B20" s="64" t="inlineStr">
        <is>
          <t>Narrative</t>
        </is>
      </c>
      <c r="C20" s="65" t="inlineStr">
        <is>
          <t>overall_analysis_agent.py -&gt; generate_narrative()</t>
        </is>
      </c>
      <c r="D20" s="63" t="inlineStr">
        <is>
          <t>gemini-2.5-flash-lite (OpenRouter)</t>
        </is>
      </c>
      <c r="E20" s="63" t="inlineStr">
        <is>
          <t>Yes</t>
        </is>
      </c>
      <c r="F20" s="63" t="inlineStr">
        <is>
          <t>not in provided usage log</t>
        </is>
      </c>
      <c r="G20" s="65" t="inlineStr">
        <is>
          <t>{"row_count": 5000,
 "highlights": [
   {"label": "Avg Time in Transit", "value": "42.3 hours"},
   {"label": "Top Origin by Volume", "value": "Chile (1,204 shipments)"},
   {"label": "Best Carrier by % In Spec", "value": "TransCold (96.4%)"},
   {"label": "Worst Carrier by % In Spec", "value": "IceLine (89.1%)"}
 ]}</t>
        </is>
      </c>
      <c r="H20" s="65" t="inlineStr">
        <is>
          <t>Plain text string, 2-4 sentences (not JSON), e.g.:
"Across 5,000 shipments analyzed, TransCold led compliance at 96.4% In Spec while IceLine lagged at 89.1%. Chile was the top origin by volume with 1,204 shipments. Average transit time held steady at 42.3 hours."</t>
        </is>
      </c>
      <c r="I20" s="63" t="inlineStr">
        <is>
          <t>n/a</t>
        </is>
      </c>
      <c r="J20" s="63" t="inlineStr">
        <is>
          <t>n/a</t>
        </is>
      </c>
      <c r="K20" s="65" t="inlineStr">
        <is>
          <t>Report Generation phase (after Analysis). Only LLM call in the overall-analysis pipeline -- the highlight rollup itself is deterministic arithmetic (overall_analysis.py). ACCURACY NOTE: differs from the diagram card's 'in: chart interpretation' label -- actual input is row_count + deterministic highlights only, never per-chart interpretation text.</t>
        </is>
      </c>
    </row>
    <row r="21">
      <c r="A21" s="39" t="inlineStr">
        <is>
          <t>Source usage log this sheet's per-run token estimates were derived from (one full session run)</t>
        </is>
      </c>
    </row>
    <row r="22">
      <c r="B22" s="61" t="inlineStr">
        <is>
          <t>Call (log label)</t>
        </is>
      </c>
      <c r="C22" s="61" t="inlineStr">
        <is>
          <t>Model</t>
        </is>
      </c>
      <c r="D22" s="61" t="inlineStr">
        <is>
          <t>Calls</t>
        </is>
      </c>
      <c r="E22" s="61" t="inlineStr">
        <is>
          <t>Input</t>
        </is>
      </c>
      <c r="F22" s="61" t="inlineStr">
        <is>
          <t>Output</t>
        </is>
      </c>
      <c r="G22" s="61" t="inlineStr">
        <is>
          <t>Total</t>
        </is>
      </c>
    </row>
    <row r="23">
      <c r="B23" s="65" t="inlineStr">
        <is>
          <t>Feature Agent -- Write Code</t>
        </is>
      </c>
      <c r="C23" s="63" t="inlineStr">
        <is>
          <t>gpt-4o-mini</t>
        </is>
      </c>
      <c r="D23" s="63" t="n">
        <v>21</v>
      </c>
      <c r="E23" s="63" t="n">
        <v>44899</v>
      </c>
      <c r="F23" s="63" t="n">
        <v>2595</v>
      </c>
      <c r="G23" s="63" t="n">
        <v>47494</v>
      </c>
    </row>
    <row r="24">
      <c r="B24" s="65" t="inlineStr">
        <is>
          <t>Analysis Agent -- Write Code</t>
        </is>
      </c>
      <c r="C24" s="63" t="inlineStr">
        <is>
          <t>gpt-4o-mini</t>
        </is>
      </c>
      <c r="D24" s="63" t="n">
        <v>14</v>
      </c>
      <c r="E24" s="63" t="n">
        <v>25819</v>
      </c>
      <c r="F24" s="63" t="n">
        <v>780</v>
      </c>
      <c r="G24" s="63" t="n">
        <v>26599</v>
      </c>
    </row>
    <row r="25">
      <c r="B25" s="65" t="inlineStr">
        <is>
          <t>Analysis Agent -- Think</t>
        </is>
      </c>
      <c r="C25" s="63" t="inlineStr">
        <is>
          <t>gpt-4o-mini</t>
        </is>
      </c>
      <c r="D25" s="63" t="n">
        <v>8</v>
      </c>
      <c r="E25" s="63" t="n">
        <v>15845</v>
      </c>
      <c r="F25" s="63" t="n">
        <v>1524</v>
      </c>
      <c r="G25" s="63" t="n">
        <v>17369</v>
      </c>
    </row>
    <row r="26">
      <c r="B26" s="65" t="inlineStr">
        <is>
          <t>Feature Agent -- Think</t>
        </is>
      </c>
      <c r="C26" s="63" t="inlineStr">
        <is>
          <t>gpt-4o-mini</t>
        </is>
      </c>
      <c r="D26" s="63" t="n">
        <v>7</v>
      </c>
      <c r="E26" s="63" t="n">
        <v>13981</v>
      </c>
      <c r="F26" s="63" t="n">
        <v>678</v>
      </c>
      <c r="G26" s="63" t="n">
        <v>14659</v>
      </c>
    </row>
    <row r="27">
      <c r="B27" s="65" t="inlineStr">
        <is>
          <t>Feature Agent -- Validate</t>
        </is>
      </c>
      <c r="C27" s="63" t="inlineStr">
        <is>
          <t>gpt-4o-mini</t>
        </is>
      </c>
      <c r="D27" s="63" t="n">
        <v>20</v>
      </c>
      <c r="E27" s="63" t="n">
        <v>13913</v>
      </c>
      <c r="F27" s="63" t="n">
        <v>706</v>
      </c>
      <c r="G27" s="63" t="n">
        <v>14619</v>
      </c>
    </row>
    <row r="28">
      <c r="B28" s="65" t="inlineStr">
        <is>
          <t>Analysis Agent -- Drilldown</t>
        </is>
      </c>
      <c r="C28" s="63" t="inlineStr">
        <is>
          <t>gpt-4o-mini</t>
        </is>
      </c>
      <c r="D28" s="63" t="n">
        <v>2</v>
      </c>
      <c r="E28" s="63" t="n">
        <v>3756</v>
      </c>
      <c r="F28" s="63" t="n">
        <v>452</v>
      </c>
      <c r="G28" s="63" t="n">
        <v>4208</v>
      </c>
    </row>
    <row r="29">
      <c r="B29" s="65" t="inlineStr">
        <is>
          <t>Planner Agent</t>
        </is>
      </c>
      <c r="C29" s="63" t="inlineStr">
        <is>
          <t>gpt-4o-mini</t>
        </is>
      </c>
      <c r="D29" s="63" t="n">
        <v>1</v>
      </c>
      <c r="E29" s="63" t="n">
        <v>3147</v>
      </c>
      <c r="F29" s="63" t="n">
        <v>719</v>
      </c>
      <c r="G29" s="63" t="n">
        <v>3866</v>
      </c>
    </row>
    <row r="30">
      <c r="B30" s="65" t="inlineStr">
        <is>
          <t>Feature Suggester</t>
        </is>
      </c>
      <c r="C30" s="63" t="inlineStr">
        <is>
          <t>gpt-4o-mini</t>
        </is>
      </c>
      <c r="D30" s="63" t="n">
        <v>1</v>
      </c>
      <c r="E30" s="63" t="n">
        <v>1595</v>
      </c>
      <c r="F30" s="63" t="n">
        <v>381</v>
      </c>
      <c r="G30" s="63" t="n">
        <v>1976</v>
      </c>
    </row>
    <row r="31">
      <c r="B31" s="65" t="inlineStr">
        <is>
          <t>Analysis Suggester</t>
        </is>
      </c>
      <c r="C31" s="63" t="inlineStr">
        <is>
          <t>gpt-4o-mini</t>
        </is>
      </c>
      <c r="D31" s="63" t="n">
        <v>1</v>
      </c>
      <c r="E31" s="63" t="n">
        <v>1653</v>
      </c>
      <c r="F31" s="63" t="n">
        <v>311</v>
      </c>
      <c r="G31" s="63" t="n">
        <v>1964</v>
      </c>
    </row>
    <row r="32">
      <c r="B32" s="65" t="inlineStr">
        <is>
          <t>Audit Agent</t>
        </is>
      </c>
      <c r="C32" s="63" t="inlineStr">
        <is>
          <t>gemini-2.5-flash-lite</t>
        </is>
      </c>
      <c r="D32" s="63" t="n">
        <v>1</v>
      </c>
      <c r="E32" s="63" t="n">
        <v>1324</v>
      </c>
      <c r="F32" s="63" t="n">
        <v>179</v>
      </c>
      <c r="G32" s="63" t="n">
        <v>1503</v>
      </c>
    </row>
    <row r="33">
      <c r="B33" s="65" t="inlineStr">
        <is>
          <t>Analysis Agent -- Chart Spec</t>
        </is>
      </c>
      <c r="C33" s="63" t="inlineStr">
        <is>
          <t>gpt-4o-mini</t>
        </is>
      </c>
      <c r="D33" s="63" t="n">
        <v>2</v>
      </c>
      <c r="E33" s="63" t="n">
        <v>920</v>
      </c>
      <c r="F33" s="63" t="n">
        <v>208</v>
      </c>
      <c r="G33" s="63" t="n">
        <v>1128</v>
      </c>
    </row>
    <row r="34">
      <c r="B34" s="65" t="inlineStr">
        <is>
          <t>Analysis Agent -- Chart Type</t>
        </is>
      </c>
      <c r="C34" s="63" t="inlineStr">
        <is>
          <t>gpt-4o-mini</t>
        </is>
      </c>
      <c r="D34" s="63" t="n">
        <v>2</v>
      </c>
      <c r="E34" s="63" t="n">
        <v>778</v>
      </c>
      <c r="F34" s="63" t="n">
        <v>50</v>
      </c>
      <c r="G34" s="63" t="n">
        <v>828</v>
      </c>
    </row>
    <row r="35">
      <c r="B35" s="65" t="inlineStr">
        <is>
          <t>Analysis Agent -- Interpret</t>
        </is>
      </c>
      <c r="C35" s="63" t="inlineStr">
        <is>
          <t>gpt-4o-mini</t>
        </is>
      </c>
      <c r="D35" s="63" t="n">
        <v>1</v>
      </c>
      <c r="E35" s="63" t="n">
        <v>546</v>
      </c>
      <c r="F35" s="63" t="n">
        <v>188</v>
      </c>
      <c r="G35" s="63" t="n">
        <v>734</v>
      </c>
    </row>
    <row r="36">
      <c r="B36" s="64" t="inlineStr">
        <is>
          <t>Total</t>
        </is>
      </c>
      <c r="C36" s="67" t="inlineStr"/>
      <c r="D36" s="67" t="n">
        <v>82</v>
      </c>
      <c r="E36" s="67" t="n">
        <v>128176</v>
      </c>
      <c r="F36" s="67" t="n">
        <v>8771</v>
      </c>
      <c r="G36" s="67" t="n">
        <v>136947</v>
      </c>
    </row>
  </sheetData>
  <mergeCells count="4">
    <mergeCell ref="A2:K2"/>
    <mergeCell ref="A1:K1"/>
    <mergeCell ref="A21:K21"/>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2026-09-19T08:50:08Z</dcterms:created>
  <dcterms:modified xmlns:dcterms="http://purl.org/dc/terms/" xmlns:xsi="http://www.w3.org/2001/XMLSchema-instance" xsi:type="dcterms:W3CDTF">2026-09-23T09:08:31Z</dcterms:modified>
</cp:coreProperties>
</file>