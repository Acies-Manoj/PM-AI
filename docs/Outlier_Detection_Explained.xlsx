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Segment Length" sheetId="2" state="visible" r:id="rId2"/>
    <sheet xmlns:r="http://schemas.openxmlformats.org/officeDocument/2006/relationships" name="Temperature" sheetId="3" state="visible" r:id="rId3"/>
  </sheets>
  <definedNames/>
  <calcPr calcId="124519" fullCalcOnLoad="1"/>
</workbook>
</file>

<file path=xl/styles.xml><?xml version="1.0" encoding="utf-8"?>
<styleSheet xmlns="http://schemas.openxmlformats.org/spreadsheetml/2006/main">
  <numFmts count="2">
    <numFmt numFmtId="164" formatCode="0.0"/>
    <numFmt numFmtId="165" formatCode="0.00&quot;x&quot;"/>
  </numFmts>
  <fonts count="8">
    <font>
      <name val="Calibri"/>
      <family val="2"/>
      <color theme="1"/>
      <sz val="11"/>
      <scheme val="minor"/>
    </font>
    <font>
      <name val="Arial"/>
      <b val="1"/>
      <color rgb="00FFFFFF"/>
      <sz val="16"/>
    </font>
    <font>
      <name val="Arial"/>
      <i val="1"/>
      <color rgb="00475569"/>
      <sz val="10"/>
    </font>
    <font>
      <name val="Arial"/>
      <b val="1"/>
      <color rgb="00152C73"/>
      <sz val="12"/>
    </font>
    <font>
      <name val="Arial"/>
      <b val="1"/>
      <color rgb="00FFFFFF"/>
      <sz val="10"/>
    </font>
    <font>
      <name val="Arial"/>
      <b val="1"/>
      <color rgb="00000000"/>
      <sz val="10"/>
    </font>
    <font>
      <name val="Arial"/>
      <color rgb="00000000"/>
      <sz val="10"/>
    </font>
    <font>
      <name val="Arial"/>
      <color rgb="000000FF"/>
      <sz val="10"/>
    </font>
  </fonts>
  <fills count="7">
    <fill>
      <patternFill/>
    </fill>
    <fill>
      <patternFill patternType="gray125"/>
    </fill>
    <fill>
      <patternFill patternType="solid">
        <fgColor rgb="00152C73"/>
      </patternFill>
    </fill>
    <fill>
      <patternFill patternType="solid">
        <fgColor rgb="00E8EEF9"/>
      </patternFill>
    </fill>
    <fill>
      <patternFill patternType="solid">
        <fgColor rgb="00FFF9DB"/>
      </patternFill>
    </fill>
    <fill>
      <patternFill patternType="solid">
        <fgColor rgb="00F4F6FA"/>
      </patternFill>
    </fill>
    <fill>
      <patternFill patternType="solid">
        <fgColor rgb="00FDEBD0"/>
      </patternFill>
    </fill>
  </fills>
  <borders count="6">
    <border>
      <left/>
      <right/>
      <top/>
      <bottom/>
      <diagonal/>
    </border>
    <border>
      <left style="thin">
        <color rgb="00D0D7E2"/>
      </left>
      <right style="thin">
        <color rgb="00D0D7E2"/>
      </right>
      <top style="thin">
        <color rgb="00D0D7E2"/>
      </top>
      <bottom style="thin">
        <color rgb="00D0D7E2"/>
      </bottom>
    </border>
    <border>
      <left/>
      <right/>
      <top style="thin">
        <color rgb="00D0D7E2"/>
      </top>
      <bottom/>
      <diagonal/>
    </border>
    <border>
      <left/>
      <right style="thin">
        <color rgb="00D0D7E2"/>
      </right>
      <top style="thin">
        <color rgb="00D0D7E2"/>
      </top>
      <bottom/>
      <diagonal/>
    </border>
    <border>
      <left/>
      <right/>
      <top style="thin">
        <color rgb="00D0D7E2"/>
      </top>
      <bottom style="thin">
        <color rgb="00D0D7E2"/>
      </bottom>
      <diagonal/>
    </border>
    <border>
      <left/>
      <right style="thin">
        <color rgb="00D0D7E2"/>
      </right>
      <top style="thin">
        <color rgb="00D0D7E2"/>
      </top>
      <bottom style="thin">
        <color rgb="00D0D7E2"/>
      </bottom>
      <diagonal/>
    </border>
  </borders>
  <cellStyleXfs count="1">
    <xf numFmtId="0" fontId="0" fillId="0" borderId="0"/>
  </cellStyleXfs>
  <cellXfs count="30">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0" applyAlignment="1" pivotButton="0" quotePrefix="0" xfId="0">
      <alignment vertical="center"/>
    </xf>
    <xf numFmtId="0" fontId="4" fillId="2" borderId="1" applyAlignment="1" pivotButton="0" quotePrefix="0" xfId="0">
      <alignment horizontal="center" vertical="center" wrapText="1"/>
    </xf>
    <xf numFmtId="0" fontId="5" fillId="0" borderId="1" applyAlignment="1" pivotButton="0" quotePrefix="0" xfId="0">
      <alignment horizontal="left" vertical="center"/>
    </xf>
    <xf numFmtId="0" fontId="6" fillId="0" borderId="1" applyAlignment="1" pivotButton="0" quotePrefix="0" xfId="0">
      <alignment horizontal="left" vertical="center" wrapText="1"/>
    </xf>
    <xf numFmtId="0" fontId="6" fillId="0" borderId="0" applyAlignment="1" pivotButton="0" quotePrefix="0" xfId="0">
      <alignment vertical="top" wrapText="1"/>
    </xf>
    <xf numFmtId="9" fontId="7" fillId="4" borderId="1" applyAlignment="1" pivotButton="0" quotePrefix="0" xfId="0">
      <alignment horizontal="center" vertical="center"/>
    </xf>
    <xf numFmtId="0" fontId="2" fillId="0" borderId="1" applyAlignment="1" pivotButton="0" quotePrefix="0" xfId="0">
      <alignment vertical="center" wrapText="1"/>
    </xf>
    <xf numFmtId="0" fontId="0" fillId="0" borderId="1" pivotButton="0" quotePrefix="0" xfId="0"/>
    <xf numFmtId="1" fontId="7" fillId="4" borderId="1" applyAlignment="1" pivotButton="0" quotePrefix="0" xfId="0">
      <alignment horizontal="center" vertical="center"/>
    </xf>
    <xf numFmtId="164" fontId="7" fillId="4" borderId="1" applyAlignment="1" pivotButton="0" quotePrefix="0" xfId="0">
      <alignment horizontal="center" vertical="center"/>
    </xf>
    <xf numFmtId="0" fontId="6" fillId="5" borderId="0" applyAlignment="1" pivotButton="0" quotePrefix="0" xfId="0">
      <alignment vertical="top" wrapText="1"/>
    </xf>
    <xf numFmtId="0" fontId="0" fillId="0" borderId="4" pivotButton="0" quotePrefix="0" xfId="0"/>
    <xf numFmtId="0" fontId="0" fillId="0" borderId="5" pivotButton="0" quotePrefix="0" xfId="0"/>
    <xf numFmtId="1" fontId="6" fillId="5" borderId="1" applyAlignment="1" pivotButton="0" quotePrefix="0" xfId="0">
      <alignment horizontal="center" vertical="center"/>
    </xf>
    <xf numFmtId="2" fontId="6" fillId="5" borderId="1" applyAlignment="1" pivotButton="0" quotePrefix="0" xfId="0">
      <alignment horizontal="center" vertical="center"/>
    </xf>
    <xf numFmtId="164" fontId="7" fillId="0" borderId="1" applyAlignment="1" pivotButton="0" quotePrefix="0" xfId="0">
      <alignment horizontal="center" vertical="center"/>
    </xf>
    <xf numFmtId="0" fontId="6" fillId="0" borderId="1" applyAlignment="1" pivotButton="0" quotePrefix="0" xfId="0">
      <alignment horizontal="center" vertical="center"/>
    </xf>
    <xf numFmtId="0" fontId="5" fillId="0" borderId="1" applyAlignment="1" pivotButton="0" quotePrefix="0" xfId="0">
      <alignment horizontal="center" vertical="center"/>
    </xf>
    <xf numFmtId="0" fontId="5" fillId="3" borderId="1" applyAlignment="1" pivotButton="0" quotePrefix="0" xfId="0">
      <alignment horizontal="left" vertical="center"/>
    </xf>
    <xf numFmtId="0" fontId="5" fillId="3" borderId="1" applyAlignment="1" pivotButton="0" quotePrefix="0" xfId="0">
      <alignment horizontal="center" vertical="center"/>
    </xf>
    <xf numFmtId="0" fontId="5" fillId="6" borderId="1" applyAlignment="1" pivotButton="0" quotePrefix="0" xfId="0">
      <alignment horizontal="center" vertical="center"/>
    </xf>
    <xf numFmtId="0" fontId="7" fillId="0" borderId="1" applyAlignment="1" pivotButton="0" quotePrefix="0" xfId="0">
      <alignment horizontal="center" vertical="center"/>
    </xf>
    <xf numFmtId="164" fontId="6" fillId="0" borderId="1" applyAlignment="1" pivotButton="0" quotePrefix="0" xfId="0">
      <alignment horizontal="center" vertical="center"/>
    </xf>
    <xf numFmtId="165" fontId="6" fillId="0" borderId="1" applyAlignment="1" pivotButton="0" quotePrefix="0" xfId="0">
      <alignment horizontal="center" vertical="center"/>
    </xf>
    <xf numFmtId="0" fontId="5" fillId="0" borderId="1" applyAlignment="1" pivotButton="0" quotePrefix="0" xfId="0">
      <alignment vertical="center"/>
    </xf>
    <xf numFmtId="0" fontId="6" fillId="3" borderId="1" applyAlignment="1" pivotButton="0" quotePrefix="0" xfId="0">
      <alignment horizontal="left" vertical="center"/>
    </xf>
    <xf numFmtId="2" fontId="6" fillId="0" borderId="1" applyAlignment="1" pivotButton="0" quotePrefix="0" xfId="0">
      <alignment horizontal="center" vertical="center"/>
    </xf>
  </cellXfs>
  <cellStyles count="1">
    <cellStyle name="Normal" xfId="0" builtinId="0" hidden="0"/>
  </cellStyles>
  <dxfs count="2">
    <dxf>
      <font>
        <name val="Arial"/>
        <b val="1"/>
        <color rgb="00922B21"/>
      </font>
      <fill>
        <patternFill patternType="solid">
          <fgColor rgb="00FADBD8"/>
        </patternFill>
      </fill>
    </dxf>
    <dxf>
      <fill>
        <patternFill patternType="solid">
          <f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52C73"/>
    <outlinePr summaryBelow="1" summaryRight="1"/>
    <pageSetUpPr fitToPage="1"/>
  </sheetPr>
  <dimension ref="A1:C22"/>
  <sheetViews>
    <sheetView showGridLines="0" workbookViewId="0">
      <selection activeCell="A1" sqref="A1"/>
    </sheetView>
  </sheetViews>
  <sheetFormatPr baseColWidth="8" defaultRowHeight="15"/>
  <cols>
    <col width="30" customWidth="1" min="1" max="1"/>
    <col width="62" customWidth="1" min="2" max="2"/>
    <col width="62" customWidth="1" min="3" max="3"/>
  </cols>
  <sheetData>
    <row r="1" ht="30" customHeight="1">
      <c r="A1" s="1" t="inlineStr">
        <is>
          <t>Outlier Detection - How It Works</t>
        </is>
      </c>
    </row>
    <row r="2" ht="18" customHeight="1">
      <c r="A2" s="2" t="inlineStr">
        <is>
          <t>Program Manager AI | Audit step: Segment Length and Temperature outliers</t>
        </is>
      </c>
    </row>
    <row r="4" ht="22" customHeight="1">
      <c r="A4" s="3" t="inlineStr">
        <is>
          <t>What this workbook contains</t>
        </is>
      </c>
    </row>
    <row r="5" ht="32" customHeight="1">
      <c r="A5" s="4" t="inlineStr">
        <is>
          <t>Sheet</t>
        </is>
      </c>
      <c r="B5" s="4" t="inlineStr">
        <is>
          <t>What it explains</t>
        </is>
      </c>
      <c r="C5" s="4" t="inlineStr">
        <is>
          <t>What it uses</t>
        </is>
      </c>
    </row>
    <row r="6" ht="46" customHeight="1">
      <c r="A6" s="5" t="inlineStr">
        <is>
          <t>Segment Length</t>
        </is>
      </c>
      <c r="B6" s="6" t="inlineStr">
        <is>
          <t>How a trip's transit duration is judged against its own lane (Origin -&gt; Destination), including the 15% margin and the rules for lanes with 1 or 2 trips.</t>
        </is>
      </c>
      <c r="C6" s="6" t="inlineStr">
        <is>
          <t>Segment Length (Days), Origin, Destination</t>
        </is>
      </c>
    </row>
    <row r="7" ht="46" customHeight="1">
      <c r="A7" s="5" t="inlineStr">
        <is>
          <t>Temperature</t>
        </is>
      </c>
      <c r="B7" s="6" t="inlineStr">
        <is>
          <t>How a trip's mean temperature is judged against its product: too warm (far above the product average) and too cold (below the Low limit).</t>
        </is>
      </c>
      <c r="C7" s="6" t="inlineStr">
        <is>
          <t>Mean Value (Temperature), Limit Low, Product</t>
        </is>
      </c>
    </row>
    <row r="9" ht="22" customHeight="1">
      <c r="A9" s="3" t="inlineStr">
        <is>
          <t>The two checks in one line each</t>
        </is>
      </c>
    </row>
    <row r="10" ht="18" customHeight="1">
      <c r="A10" s="7" t="inlineStr">
        <is>
          <t>Segment Length: a trip is an outlier when its duration is more than 15% outside the normal range (5th to 95th percentile) of its own lane.</t>
        </is>
      </c>
    </row>
    <row r="11" ht="32" customHeight="1">
      <c r="A11" s="7" t="inlineStr">
        <is>
          <t>Temperature: a trip is TOO WARM when its mean temperature is more than 2 standard deviations above its product's average; it is TOO COLD when its mean is below its own Low limit.</t>
        </is>
      </c>
    </row>
    <row r="13" ht="22" customHeight="1">
      <c r="A13" s="3" t="inlineStr">
        <is>
          <t>How to read the example sheets</t>
        </is>
      </c>
    </row>
    <row r="14" ht="32" customHeight="1">
      <c r="A14" s="7" t="inlineStr">
        <is>
          <t>Yellow cells with blue text are settings you can change; every number in the example tables recalculates from them. Black cells are formulas. Cells that turn red are flagged trips.</t>
        </is>
      </c>
    </row>
    <row r="15" ht="32" customHeight="1">
      <c r="A15" s="7" t="inlineStr">
        <is>
          <t>All examples use made-up sample values chosen to show each rule clearly. They are not taken from a client dataset. The settings on each sheet match the values currently used by the application.</t>
        </is>
      </c>
    </row>
    <row r="17" ht="22" customHeight="1">
      <c r="A17" s="3" t="inlineStr">
        <is>
          <t>Where the rules live in the code</t>
        </is>
      </c>
    </row>
    <row r="18" ht="32" customHeight="1">
      <c r="A18" s="4" t="inlineStr">
        <is>
          <t>Setting</t>
        </is>
      </c>
      <c r="B18" s="4" t="inlineStr">
        <is>
          <t>Value</t>
        </is>
      </c>
      <c r="C18" s="4" t="inlineStr">
        <is>
          <t>File</t>
        </is>
      </c>
    </row>
    <row r="19" ht="30" customHeight="1">
      <c r="A19" s="5" t="inlineStr">
        <is>
          <t>Lane fence percentiles</t>
        </is>
      </c>
      <c r="B19" s="6" t="inlineStr">
        <is>
          <t>5th and 95th</t>
        </is>
      </c>
      <c r="C19" s="6" t="inlineStr">
        <is>
          <t>backend/app/services/audit/anomaly_detection.py (DURATION_FENCE_*_PERCENTILE)</t>
        </is>
      </c>
    </row>
    <row r="20" ht="30" customHeight="1">
      <c r="A20" s="5" t="inlineStr">
        <is>
          <t>Lane margin</t>
        </is>
      </c>
      <c r="B20" s="6" t="inlineStr">
        <is>
          <t>15%</t>
        </is>
      </c>
      <c r="C20" s="6" t="inlineStr">
        <is>
          <t>anomaly_detection.py (DURATION_FENCE_TOLERANCE)</t>
        </is>
      </c>
    </row>
    <row r="21" ht="30" customHeight="1">
      <c r="A21" s="5" t="inlineStr">
        <is>
          <t>Two-trip lane rule</t>
        </is>
      </c>
      <c r="B21" s="6" t="inlineStr">
        <is>
          <t>gap &gt;= 3 days AND ratio &gt;= 1.5</t>
        </is>
      </c>
      <c r="C21" s="6" t="inlineStr">
        <is>
          <t>anomaly_detection.py (PAIR_MIN_GAP_DAYS, PAIR_MIN_RATIO)</t>
        </is>
      </c>
    </row>
    <row r="22" ht="30" customHeight="1">
      <c r="A22" s="5" t="inlineStr">
        <is>
          <t>Too-warm rule</t>
        </is>
      </c>
      <c r="B22" s="6" t="inlineStr">
        <is>
          <t>average + 2 standard deviations, min 3 trips</t>
        </is>
      </c>
      <c r="C22" s="6" t="inlineStr">
        <is>
          <t>backend/app/services/audit/outlier_detectors.py (TEMP_WARM_SD_MULTIPLIER, TEMP_MIN_TRIPS)</t>
        </is>
      </c>
    </row>
  </sheetData>
  <mergeCells count="10">
    <mergeCell ref="A10:C10"/>
    <mergeCell ref="A13:C13"/>
    <mergeCell ref="A11:C11"/>
    <mergeCell ref="A1:C1"/>
    <mergeCell ref="A14:C14"/>
    <mergeCell ref="A17:C17"/>
    <mergeCell ref="A9:C9"/>
    <mergeCell ref="A15:C15"/>
    <mergeCell ref="A4:C4"/>
    <mergeCell ref="A2:C2"/>
  </mergeCells>
  <pageMargins left="0.75" right="0.75" top="1" bottom="1" header="0.5" footer="0.5"/>
  <pageSetup orientation="landscape" fitToHeight="0" fitToWidth="1"/>
</worksheet>
</file>

<file path=xl/worksheets/sheet2.xml><?xml version="1.0" encoding="utf-8"?>
<worksheet xmlns="http://schemas.openxmlformats.org/spreadsheetml/2006/main">
  <sheetPr>
    <tabColor rgb="00152C73"/>
    <outlinePr summaryBelow="1" summaryRight="1"/>
    <pageSetUpPr fitToPage="1"/>
  </sheetPr>
  <dimension ref="A1:F75"/>
  <sheetViews>
    <sheetView showGridLines="0" workbookViewId="0">
      <selection activeCell="A1" sqref="A1"/>
    </sheetView>
  </sheetViews>
  <sheetFormatPr baseColWidth="8" defaultRowHeight="15"/>
  <cols>
    <col width="34" customWidth="1" min="1" max="1"/>
    <col width="16" customWidth="1" min="2" max="2"/>
    <col width="22" customWidth="1" min="3" max="3"/>
    <col width="26" customWidth="1" min="4" max="4"/>
    <col width="3" customWidth="1" min="5" max="5"/>
    <col width="52" customWidth="1" min="6" max="6"/>
  </cols>
  <sheetData>
    <row r="1" ht="30" customHeight="1">
      <c r="A1" s="1" t="inlineStr">
        <is>
          <t>Segment Length Outlier Detection</t>
        </is>
      </c>
    </row>
    <row r="2" ht="18" customHeight="1">
      <c r="A2" s="2" t="inlineStr">
        <is>
          <t>Is this trip's transit duration unusual for ITS OWN route? Every trip is compared only with other trips on the same Origin -&gt; Destination lane.</t>
        </is>
      </c>
    </row>
    <row r="4" ht="22" customHeight="1">
      <c r="A4" s="3" t="inlineStr">
        <is>
          <t>1. Settings (change these and the examples recalculate)</t>
        </is>
      </c>
    </row>
    <row r="5">
      <c r="A5" s="5" t="inlineStr">
        <is>
          <t>Lower percentile</t>
        </is>
      </c>
      <c r="B5" s="8" t="n">
        <v>0.05</v>
      </c>
      <c r="C5" s="9" t="inlineStr">
        <is>
          <t>Bottom of the normal range: the 5th percentile of the lane's durations.</t>
        </is>
      </c>
      <c r="D5" s="10" t="n"/>
      <c r="E5" s="10" t="n"/>
      <c r="F5" s="10" t="n"/>
    </row>
    <row r="6">
      <c r="A6" s="5" t="inlineStr">
        <is>
          <t>Upper percentile</t>
        </is>
      </c>
      <c r="B6" s="8" t="n">
        <v>0.95</v>
      </c>
      <c r="C6" s="9" t="inlineStr">
        <is>
          <t>Top of the normal range: the 95th percentile of the lane's durations.</t>
        </is>
      </c>
      <c r="D6" s="10" t="n"/>
      <c r="E6" s="10" t="n"/>
      <c r="F6" s="10" t="n"/>
    </row>
    <row r="7">
      <c r="A7" s="5" t="inlineStr">
        <is>
          <t>Margin beyond the range</t>
        </is>
      </c>
      <c r="B7" s="8" t="n">
        <v>0.15</v>
      </c>
      <c r="C7" s="9" t="inlineStr">
        <is>
          <t>A trip is flagged only if it is MORE than this share outside the range.</t>
        </is>
      </c>
      <c r="D7" s="10" t="n"/>
      <c r="E7" s="10" t="n"/>
      <c r="F7" s="10" t="n"/>
    </row>
    <row r="8">
      <c r="A8" s="5" t="inlineStr">
        <is>
          <t>Min trips for a percentile range</t>
        </is>
      </c>
      <c r="B8" s="11" t="n">
        <v>3</v>
      </c>
      <c r="C8" s="9" t="inlineStr">
        <is>
          <t>Lanes with fewer trips use the 1-trip / 2-trip rules instead.</t>
        </is>
      </c>
      <c r="D8" s="10" t="n"/>
      <c r="E8" s="10" t="n"/>
      <c r="F8" s="10" t="n"/>
    </row>
    <row r="9">
      <c r="A9" s="5" t="inlineStr">
        <is>
          <t>2-trip rule: minimum gap (days)</t>
        </is>
      </c>
      <c r="B9" s="12" t="n">
        <v>3</v>
      </c>
      <c r="C9" s="9" t="inlineStr">
        <is>
          <t>Longer trip minus shorter trip must be at least this.</t>
        </is>
      </c>
      <c r="D9" s="10" t="n"/>
      <c r="E9" s="10" t="n"/>
      <c r="F9" s="10" t="n"/>
    </row>
    <row r="10">
      <c r="A10" s="5" t="inlineStr">
        <is>
          <t>2-trip rule: minimum ratio</t>
        </is>
      </c>
      <c r="B10" s="12" t="n">
        <v>1.5</v>
      </c>
      <c r="C10" s="9" t="inlineStr">
        <is>
          <t>Longer trip divided by shorter trip must be at least this.</t>
        </is>
      </c>
      <c r="D10" s="10" t="n"/>
      <c r="E10" s="10" t="n"/>
      <c r="F10" s="10" t="n"/>
    </row>
    <row r="12" ht="22" customHeight="1">
      <c r="A12" s="3" t="inlineStr">
        <is>
          <t>2. Example A - a lane with 12 trips (Cape Town -&gt; Hamburg)</t>
        </is>
      </c>
    </row>
    <row r="13" ht="18" customHeight="1">
      <c r="A13" s="13" t="inlineStr">
        <is>
          <t>Step 1 - Group by lane. Only trips on the same Origin -&gt; Destination are compared with each other. A Hamburg trip from a different port is never mixed in.</t>
        </is>
      </c>
    </row>
    <row r="14" ht="18" customHeight="1">
      <c r="A14" s="13" t="inlineStr">
        <is>
          <t>Step 2 - Count the trips on the lane. With 3 or more trips a statistical range can be built (steps 3 and 4). With 1 or 2 trips see examples B and C below.</t>
        </is>
      </c>
    </row>
    <row r="15" ht="32" customHeight="1">
      <c r="A15" s="13" t="inlineStr">
        <is>
          <t>Step 3 - Build the normal range: sort the durations and cut off the lowest and highest 5%. What is left between the 5th and 95th percentile is 'normal' for this lane.</t>
        </is>
      </c>
    </row>
    <row r="16" ht="18" customHeight="1">
      <c r="A16" s="13" t="inlineStr">
        <is>
          <t>Step 4 - Add the margin: a trip only just outside the range is still acceptable, so we allow 15% on each side before flagging.</t>
        </is>
      </c>
    </row>
    <row r="18" ht="32" customHeight="1">
      <c r="A18" s="4" t="inlineStr">
        <is>
          <t>Calculation</t>
        </is>
      </c>
      <c r="B18" s="4" t="inlineStr">
        <is>
          <t>Result</t>
        </is>
      </c>
      <c r="C18" s="4" t="inlineStr">
        <is>
          <t>Formula in words</t>
        </is>
      </c>
      <c r="D18" s="4" t="inlineStr">
        <is>
          <t>What it means</t>
        </is>
      </c>
      <c r="E18" s="14" t="n"/>
      <c r="F18" s="15" t="n"/>
    </row>
    <row r="19" ht="20" customHeight="1">
      <c r="A19" s="5" t="inlineStr">
        <is>
          <t>Trips on this lane</t>
        </is>
      </c>
      <c r="B19" s="16">
        <f>COUNT($B$29:$B$40)</f>
        <v/>
      </c>
      <c r="C19" s="6" t="inlineStr">
        <is>
          <t>Count of usable durations</t>
        </is>
      </c>
      <c r="D19" s="9" t="inlineStr">
        <is>
          <t>Must be 3 or more to use the percentile range.</t>
        </is>
      </c>
      <c r="E19" s="10" t="n"/>
      <c r="F19" s="10" t="n"/>
    </row>
    <row r="20" ht="20" customHeight="1">
      <c r="A20" s="5" t="inlineStr">
        <is>
          <t>Lower fence (5th percentile)</t>
        </is>
      </c>
      <c r="B20" s="17">
        <f>PERCENTILE($B$29:$B$40,$B$5)</f>
        <v/>
      </c>
      <c r="C20" s="6" t="inlineStr">
        <is>
          <t>5th percentile of the durations</t>
        </is>
      </c>
      <c r="D20" s="9" t="inlineStr">
        <is>
          <t>Below this is unusually short.</t>
        </is>
      </c>
      <c r="E20" s="10" t="n"/>
      <c r="F20" s="10" t="n"/>
    </row>
    <row r="21" ht="20" customHeight="1">
      <c r="A21" s="5" t="inlineStr">
        <is>
          <t>Upper fence (95th percentile)</t>
        </is>
      </c>
      <c r="B21" s="17">
        <f>PERCENTILE($B$29:$B$40,$B$6)</f>
        <v/>
      </c>
      <c r="C21" s="6" t="inlineStr">
        <is>
          <t>95th percentile of the durations</t>
        </is>
      </c>
      <c r="D21" s="9" t="inlineStr">
        <is>
          <t>Above this is unusually long.</t>
        </is>
      </c>
      <c r="E21" s="10" t="n"/>
      <c r="F21" s="10" t="n"/>
    </row>
    <row r="22" ht="20" customHeight="1">
      <c r="A22" s="5" t="inlineStr">
        <is>
          <t>Flag if below</t>
        </is>
      </c>
      <c r="B22" s="17">
        <f>B20*(1-$B$7)</f>
        <v/>
      </c>
      <c r="C22" s="6" t="inlineStr">
        <is>
          <t>Lower fence x (1 - margin)</t>
        </is>
      </c>
      <c r="D22" s="9" t="inlineStr">
        <is>
          <t>The shortest duration still treated as acceptable.</t>
        </is>
      </c>
      <c r="E22" s="10" t="n"/>
      <c r="F22" s="10" t="n"/>
    </row>
    <row r="23" ht="20" customHeight="1">
      <c r="A23" s="5" t="inlineStr">
        <is>
          <t>Flag if above</t>
        </is>
      </c>
      <c r="B23" s="17">
        <f>B21*(1+$B$7)</f>
        <v/>
      </c>
      <c r="C23" s="6" t="inlineStr">
        <is>
          <t>Upper fence x (1 + margin)</t>
        </is>
      </c>
      <c r="D23" s="9" t="inlineStr">
        <is>
          <t>The longest duration still treated as acceptable.</t>
        </is>
      </c>
      <c r="E23" s="10" t="n"/>
      <c r="F23" s="10" t="n"/>
    </row>
    <row r="25" ht="32" customHeight="1">
      <c r="A25" s="13" t="inlineStr">
        <is>
          <t>Step 5 - Judge every trip. 'Without margin' shows what would happen if we flagged anything outside the 5th-95th range; 'With margin' is what the app actually flags.</t>
        </is>
      </c>
    </row>
    <row r="26" ht="32" customHeight="1">
      <c r="A26" s="2" t="inlineStr">
        <is>
          <t>Look at trip A (9.0 days): it is below the lower fence, so a strict rule would flag it, but it is only 0.28 days short and well inside the margin, so the app leaves it alone.</t>
        </is>
      </c>
    </row>
    <row r="27" ht="6" customHeight="1"/>
    <row r="28" ht="32" customHeight="1">
      <c r="A28" s="4" t="inlineStr">
        <is>
          <t>Trip</t>
        </is>
      </c>
      <c r="B28" s="4" t="inlineStr">
        <is>
          <t>Segment days</t>
        </is>
      </c>
      <c r="C28" s="4" t="inlineStr">
        <is>
          <t>Outside the 5th-95th range? (no margin)</t>
        </is>
      </c>
      <c r="D28" s="4" t="inlineStr">
        <is>
          <t>Flagged by the app? (with margin)</t>
        </is>
      </c>
      <c r="E28" s="4" t="inlineStr"/>
      <c r="F28" s="4" t="inlineStr">
        <is>
          <t>Why</t>
        </is>
      </c>
    </row>
    <row r="29" ht="30" customHeight="1">
      <c r="A29" s="5" t="inlineStr">
        <is>
          <t>Trip A</t>
        </is>
      </c>
      <c r="B29" s="18" t="n">
        <v>9</v>
      </c>
      <c r="C29" s="19">
        <f>IF(OR(B29&lt;$B$20,B29&gt;$B$21),"Yes","No")</f>
        <v/>
      </c>
      <c r="D29" s="20">
        <f>IF(OR(B29&lt;$B$22,B29&gt;$B$23),"FLAGGED","OK")</f>
        <v/>
      </c>
      <c r="E29" s="10" t="n"/>
      <c r="F29" s="9" t="inlineStr">
        <is>
          <t>Below the lower fence (9.28) but above the flag line (7.88): inside the margin, so NOT flagged.</t>
        </is>
      </c>
    </row>
    <row r="30" ht="18" customHeight="1">
      <c r="A30" s="5" t="inlineStr">
        <is>
          <t>Trip B</t>
        </is>
      </c>
      <c r="B30" s="18" t="n">
        <v>9.5</v>
      </c>
      <c r="C30" s="19">
        <f>IF(OR(B30&lt;$B$20,B30&gt;$B$21),"Yes","No")</f>
        <v/>
      </c>
      <c r="D30" s="20">
        <f>IF(OR(B30&lt;$B$22,B30&gt;$B$23),"FLAGGED","OK")</f>
        <v/>
      </c>
      <c r="E30" s="10" t="n"/>
      <c r="F30" s="9" t="inlineStr">
        <is>
          <t>Inside the normal range.</t>
        </is>
      </c>
    </row>
    <row r="31" ht="18" customHeight="1">
      <c r="A31" s="5" t="inlineStr">
        <is>
          <t>Trip C</t>
        </is>
      </c>
      <c r="B31" s="18" t="n">
        <v>9.800000000000001</v>
      </c>
      <c r="C31" s="19">
        <f>IF(OR(B31&lt;$B$20,B31&gt;$B$21),"Yes","No")</f>
        <v/>
      </c>
      <c r="D31" s="20">
        <f>IF(OR(B31&lt;$B$22,B31&gt;$B$23),"FLAGGED","OK")</f>
        <v/>
      </c>
      <c r="E31" s="10" t="n"/>
      <c r="F31" s="9" t="inlineStr">
        <is>
          <t>Inside the normal range.</t>
        </is>
      </c>
    </row>
    <row r="32" ht="18" customHeight="1">
      <c r="A32" s="5" t="inlineStr">
        <is>
          <t>Trip D</t>
        </is>
      </c>
      <c r="B32" s="18" t="n">
        <v>10</v>
      </c>
      <c r="C32" s="19">
        <f>IF(OR(B32&lt;$B$20,B32&gt;$B$21),"Yes","No")</f>
        <v/>
      </c>
      <c r="D32" s="20">
        <f>IF(OR(B32&lt;$B$22,B32&gt;$B$23),"FLAGGED","OK")</f>
        <v/>
      </c>
      <c r="E32" s="10" t="n"/>
      <c r="F32" s="9" t="inlineStr">
        <is>
          <t>Inside the normal range.</t>
        </is>
      </c>
    </row>
    <row r="33" ht="18" customHeight="1">
      <c r="A33" s="5" t="inlineStr">
        <is>
          <t>Trip E</t>
        </is>
      </c>
      <c r="B33" s="18" t="n">
        <v>10.2</v>
      </c>
      <c r="C33" s="19">
        <f>IF(OR(B33&lt;$B$20,B33&gt;$B$21),"Yes","No")</f>
        <v/>
      </c>
      <c r="D33" s="20">
        <f>IF(OR(B33&lt;$B$22,B33&gt;$B$23),"FLAGGED","OK")</f>
        <v/>
      </c>
      <c r="E33" s="10" t="n"/>
      <c r="F33" s="9" t="inlineStr">
        <is>
          <t>Inside the normal range.</t>
        </is>
      </c>
    </row>
    <row r="34" ht="18" customHeight="1">
      <c r="A34" s="5" t="inlineStr">
        <is>
          <t>Trip F</t>
        </is>
      </c>
      <c r="B34" s="18" t="n">
        <v>10.4</v>
      </c>
      <c r="C34" s="19">
        <f>IF(OR(B34&lt;$B$20,B34&gt;$B$21),"Yes","No")</f>
        <v/>
      </c>
      <c r="D34" s="20">
        <f>IF(OR(B34&lt;$B$22,B34&gt;$B$23),"FLAGGED","OK")</f>
        <v/>
      </c>
      <c r="E34" s="10" t="n"/>
      <c r="F34" s="9" t="inlineStr">
        <is>
          <t>Inside the normal range.</t>
        </is>
      </c>
    </row>
    <row r="35" ht="18" customHeight="1">
      <c r="A35" s="5" t="inlineStr">
        <is>
          <t>Trip G</t>
        </is>
      </c>
      <c r="B35" s="18" t="n">
        <v>10.6</v>
      </c>
      <c r="C35" s="19">
        <f>IF(OR(B35&lt;$B$20,B35&gt;$B$21),"Yes","No")</f>
        <v/>
      </c>
      <c r="D35" s="20">
        <f>IF(OR(B35&lt;$B$22,B35&gt;$B$23),"FLAGGED","OK")</f>
        <v/>
      </c>
      <c r="E35" s="10" t="n"/>
      <c r="F35" s="9" t="inlineStr">
        <is>
          <t>Inside the normal range.</t>
        </is>
      </c>
    </row>
    <row r="36" ht="18" customHeight="1">
      <c r="A36" s="5" t="inlineStr">
        <is>
          <t>Trip H</t>
        </is>
      </c>
      <c r="B36" s="18" t="n">
        <v>10.8</v>
      </c>
      <c r="C36" s="19">
        <f>IF(OR(B36&lt;$B$20,B36&gt;$B$21),"Yes","No")</f>
        <v/>
      </c>
      <c r="D36" s="20">
        <f>IF(OR(B36&lt;$B$22,B36&gt;$B$23),"FLAGGED","OK")</f>
        <v/>
      </c>
      <c r="E36" s="10" t="n"/>
      <c r="F36" s="9" t="inlineStr">
        <is>
          <t>Inside the normal range.</t>
        </is>
      </c>
    </row>
    <row r="37" ht="18" customHeight="1">
      <c r="A37" s="5" t="inlineStr">
        <is>
          <t>Trip I</t>
        </is>
      </c>
      <c r="B37" s="18" t="n">
        <v>11</v>
      </c>
      <c r="C37" s="19">
        <f>IF(OR(B37&lt;$B$20,B37&gt;$B$21),"Yes","No")</f>
        <v/>
      </c>
      <c r="D37" s="20">
        <f>IF(OR(B37&lt;$B$22,B37&gt;$B$23),"FLAGGED","OK")</f>
        <v/>
      </c>
      <c r="E37" s="10" t="n"/>
      <c r="F37" s="9" t="inlineStr">
        <is>
          <t>Inside the normal range.</t>
        </is>
      </c>
    </row>
    <row r="38" ht="30" customHeight="1">
      <c r="A38" s="5" t="inlineStr">
        <is>
          <t>Trip J</t>
        </is>
      </c>
      <c r="B38" s="18" t="n">
        <v>11.5</v>
      </c>
      <c r="C38" s="19">
        <f>IF(OR(B38&lt;$B$20,B38&gt;$B$21),"Yes","No")</f>
        <v/>
      </c>
      <c r="D38" s="20">
        <f>IF(OR(B38&lt;$B$22,B38&gt;$B$23),"FLAGGED","OK")</f>
        <v/>
      </c>
      <c r="E38" s="10" t="n"/>
      <c r="F38" s="9" t="inlineStr">
        <is>
          <t>Slightly above the median but well inside the range.</t>
        </is>
      </c>
    </row>
    <row r="39" ht="30" customHeight="1">
      <c r="A39" s="5" t="inlineStr">
        <is>
          <t>Trip K</t>
        </is>
      </c>
      <c r="B39" s="18" t="n">
        <v>12</v>
      </c>
      <c r="C39" s="19">
        <f>IF(OR(B39&lt;$B$20,B39&gt;$B$21),"Yes","No")</f>
        <v/>
      </c>
      <c r="D39" s="20">
        <f>IF(OR(B39&lt;$B$22,B39&gt;$B$23),"FLAGGED","OK")</f>
        <v/>
      </c>
      <c r="E39" s="10" t="n"/>
      <c r="F39" s="9" t="inlineStr">
        <is>
          <t>Longest 'normal' trip: inside the upper fence.</t>
        </is>
      </c>
    </row>
    <row r="40" ht="30" customHeight="1">
      <c r="A40" s="5" t="inlineStr">
        <is>
          <t>Trip L</t>
        </is>
      </c>
      <c r="B40" s="18" t="n">
        <v>16</v>
      </c>
      <c r="C40" s="19">
        <f>IF(OR(B40&lt;$B$20,B40&gt;$B$21),"Yes","No")</f>
        <v/>
      </c>
      <c r="D40" s="20">
        <f>IF(OR(B40&lt;$B$22,B40&gt;$B$23),"FLAGGED","OK")</f>
        <v/>
      </c>
      <c r="E40" s="10" t="n"/>
      <c r="F40" s="9" t="inlineStr">
        <is>
          <t>Above the flag line (15.87): clearly unusual for this lane, so FLAGGED.</t>
        </is>
      </c>
    </row>
    <row r="41" ht="22" customHeight="1">
      <c r="A41" s="21" t="inlineStr">
        <is>
          <t>Trips flagged by the app</t>
        </is>
      </c>
      <c r="B41" s="22">
        <f>COUNTIF(D29:D40,"FLAGGED")</f>
        <v/>
      </c>
      <c r="C41" s="23">
        <f>COUNTIF(C29:C40,"Yes")</f>
        <v/>
      </c>
      <c r="D41" s="9" t="inlineStr">
        <is>
          <t>Column C total = trips a strict rule would flag. The margin removes the borderline ones.</t>
        </is>
      </c>
      <c r="E41" s="10" t="n"/>
      <c r="F41" s="10" t="n"/>
    </row>
    <row r="43" ht="22" customHeight="1">
      <c r="A43" s="3" t="inlineStr">
        <is>
          <t>3. Example B - a lane with only 1 trip</t>
        </is>
      </c>
    </row>
    <row r="44" ht="32" customHeight="1">
      <c r="A44" s="13" t="inlineStr">
        <is>
          <t>One trip cannot be compared with anything, and a trip cannot deviate from itself. So the single trip is treated as the lane's baseline: the range is just its own value and it is never flagged.</t>
        </is>
      </c>
    </row>
    <row r="45" ht="32" customHeight="1">
      <c r="A45" s="4" t="inlineStr">
        <is>
          <t>Lane</t>
        </is>
      </c>
      <c r="B45" s="4" t="inlineStr">
        <is>
          <t>Segment days</t>
        </is>
      </c>
      <c r="C45" s="4" t="inlineStr">
        <is>
          <t>Trips on lane</t>
        </is>
      </c>
      <c r="D45" s="4" t="inlineStr">
        <is>
          <t>Result</t>
        </is>
      </c>
      <c r="E45" s="14" t="n"/>
      <c r="F45" s="15" t="n"/>
    </row>
    <row r="46" ht="20" customHeight="1">
      <c r="A46" s="5" t="inlineStr">
        <is>
          <t>El Ciruelo -&gt; GHB Minden</t>
        </is>
      </c>
      <c r="B46" s="18" t="n">
        <v>21.5</v>
      </c>
      <c r="C46" s="24" t="n">
        <v>1</v>
      </c>
      <c r="D46" s="5">
        <f>IF(C46=1,"Single trip (baseline) - never flagged","See other rules")</f>
        <v/>
      </c>
      <c r="E46" s="14" t="n"/>
      <c r="F46" s="15" t="n"/>
    </row>
    <row r="48" ht="22" customHeight="1">
      <c r="A48" s="3" t="inlineStr">
        <is>
          <t>4. Example C - a lane with exactly 2 trips</t>
        </is>
      </c>
    </row>
    <row r="49" ht="46" customHeight="1">
      <c r="A49" s="13" t="inlineStr">
        <is>
          <t>With 2 trips we cannot tell which one is wrong, so we never single one out. Instead we check whether the two trips AGREE. They disagree only if the gap is at least 3 days AND the longer trip is at least 1.5x the shorter. If they disagree, BOTH are flagged for review. Both tests are needed: 1 vs 2 days is a 2x ratio but only a 1-day gap (trivial), and 30 vs 33 days is a 3-day gap but only 1.1x (consistent).</t>
        </is>
      </c>
    </row>
    <row r="50" ht="32" customHeight="1">
      <c r="A50" s="4" t="inlineStr">
        <is>
          <t>Lane (2 trips)</t>
        </is>
      </c>
      <c r="B50" s="4" t="inlineStr">
        <is>
          <t>Trip 1 (days)</t>
        </is>
      </c>
      <c r="C50" s="4" t="inlineStr">
        <is>
          <t>Trip 2 (days)</t>
        </is>
      </c>
      <c r="D50" s="4" t="inlineStr">
        <is>
          <t>Gap = longer - shorter</t>
        </is>
      </c>
      <c r="E50" s="4" t="n"/>
      <c r="F50" s="4" t="inlineStr">
        <is>
          <t>Ratio = longer / shorter</t>
        </is>
      </c>
    </row>
    <row r="51">
      <c r="A51" s="5" t="inlineStr">
        <is>
          <t>Pair 1</t>
        </is>
      </c>
      <c r="B51" s="18" t="n">
        <v>5</v>
      </c>
      <c r="C51" s="18" t="n">
        <v>6</v>
      </c>
      <c r="D51" s="25">
        <f>MAX(B51:C51)-MIN(B51:C51)</f>
        <v/>
      </c>
      <c r="E51" s="10" t="n"/>
      <c r="F51" s="26">
        <f>MAX(B51:C51)/MIN(B51:C51)</f>
        <v/>
      </c>
    </row>
    <row r="52">
      <c r="A52" s="5" t="inlineStr">
        <is>
          <t>Pair 2</t>
        </is>
      </c>
      <c r="B52" s="18" t="n">
        <v>5</v>
      </c>
      <c r="C52" s="18" t="n">
        <v>12</v>
      </c>
      <c r="D52" s="25">
        <f>MAX(B52:C52)-MIN(B52:C52)</f>
        <v/>
      </c>
      <c r="E52" s="10" t="n"/>
      <c r="F52" s="26">
        <f>MAX(B52:C52)/MIN(B52:C52)</f>
        <v/>
      </c>
    </row>
    <row r="53">
      <c r="A53" s="5" t="inlineStr">
        <is>
          <t>Pair 3</t>
        </is>
      </c>
      <c r="B53" s="18" t="n">
        <v>1</v>
      </c>
      <c r="C53" s="18" t="n">
        <v>2</v>
      </c>
      <c r="D53" s="25">
        <f>MAX(B53:C53)-MIN(B53:C53)</f>
        <v/>
      </c>
      <c r="E53" s="10" t="n"/>
      <c r="F53" s="26">
        <f>MAX(B53:C53)/MIN(B53:C53)</f>
        <v/>
      </c>
    </row>
    <row r="54">
      <c r="A54" s="5" t="inlineStr">
        <is>
          <t>Pair 4</t>
        </is>
      </c>
      <c r="B54" s="18" t="n">
        <v>30</v>
      </c>
      <c r="C54" s="18" t="n">
        <v>33</v>
      </c>
      <c r="D54" s="25">
        <f>MAX(B54:C54)-MIN(B54:C54)</f>
        <v/>
      </c>
      <c r="E54" s="10" t="n"/>
      <c r="F54" s="26">
        <f>MAX(B54:C54)/MIN(B54:C54)</f>
        <v/>
      </c>
    </row>
    <row r="55">
      <c r="A55" s="5" t="inlineStr">
        <is>
          <t>Pair 5</t>
        </is>
      </c>
      <c r="B55" s="18" t="n">
        <v>5</v>
      </c>
      <c r="C55" s="18" t="n">
        <v>9</v>
      </c>
      <c r="D55" s="25">
        <f>MAX(B55:C55)-MIN(B55:C55)</f>
        <v/>
      </c>
      <c r="E55" s="10" t="n"/>
      <c r="F55" s="26">
        <f>MAX(B55:C55)/MIN(B55:C55)</f>
        <v/>
      </c>
    </row>
    <row r="57" ht="32" customHeight="1">
      <c r="A57" s="4" t="inlineStr">
        <is>
          <t>Lane (2 trips)</t>
        </is>
      </c>
      <c r="B57" s="4" t="inlineStr">
        <is>
          <t>Gap &gt;= 3 days?</t>
        </is>
      </c>
      <c r="C57" s="4" t="inlineStr">
        <is>
          <t>Ratio &gt;= 1.5x?</t>
        </is>
      </c>
      <c r="D57" s="4" t="inlineStr">
        <is>
          <t>Result</t>
        </is>
      </c>
      <c r="E57" s="14" t="n"/>
      <c r="F57" s="15" t="n"/>
    </row>
    <row r="58" ht="20" customHeight="1">
      <c r="A58" s="5" t="inlineStr">
        <is>
          <t>Pair 1</t>
        </is>
      </c>
      <c r="B58" s="19">
        <f>IF(D51&gt;=$B$9,"Yes","No")</f>
        <v/>
      </c>
      <c r="C58" s="19">
        <f>IF(F51&gt;=$B$10,"Yes","No")</f>
        <v/>
      </c>
      <c r="D58" s="27">
        <f>IF(AND(D51&gt;=$B$9,F51&gt;=$B$10),"BOTH TRIPS FLAGGED - pair disagrees","Not flagged - trips agree")</f>
        <v/>
      </c>
      <c r="E58" s="14" t="n"/>
      <c r="F58" s="15" t="n"/>
    </row>
    <row r="59" ht="20" customHeight="1">
      <c r="A59" s="5" t="inlineStr">
        <is>
          <t>Pair 2</t>
        </is>
      </c>
      <c r="B59" s="19">
        <f>IF(D52&gt;=$B$9,"Yes","No")</f>
        <v/>
      </c>
      <c r="C59" s="19">
        <f>IF(F52&gt;=$B$10,"Yes","No")</f>
        <v/>
      </c>
      <c r="D59" s="27">
        <f>IF(AND(D52&gt;=$B$9,F52&gt;=$B$10),"BOTH TRIPS FLAGGED - pair disagrees","Not flagged - trips agree")</f>
        <v/>
      </c>
      <c r="E59" s="14" t="n"/>
      <c r="F59" s="15" t="n"/>
    </row>
    <row r="60" ht="20" customHeight="1">
      <c r="A60" s="5" t="inlineStr">
        <is>
          <t>Pair 3</t>
        </is>
      </c>
      <c r="B60" s="19">
        <f>IF(D53&gt;=$B$9,"Yes","No")</f>
        <v/>
      </c>
      <c r="C60" s="19">
        <f>IF(F53&gt;=$B$10,"Yes","No")</f>
        <v/>
      </c>
      <c r="D60" s="27">
        <f>IF(AND(D53&gt;=$B$9,F53&gt;=$B$10),"BOTH TRIPS FLAGGED - pair disagrees","Not flagged - trips agree")</f>
        <v/>
      </c>
      <c r="E60" s="14" t="n"/>
      <c r="F60" s="15" t="n"/>
    </row>
    <row r="61" ht="20" customHeight="1">
      <c r="A61" s="5" t="inlineStr">
        <is>
          <t>Pair 4</t>
        </is>
      </c>
      <c r="B61" s="19">
        <f>IF(D54&gt;=$B$9,"Yes","No")</f>
        <v/>
      </c>
      <c r="C61" s="19">
        <f>IF(F54&gt;=$B$10,"Yes","No")</f>
        <v/>
      </c>
      <c r="D61" s="27">
        <f>IF(AND(D54&gt;=$B$9,F54&gt;=$B$10),"BOTH TRIPS FLAGGED - pair disagrees","Not flagged - trips agree")</f>
        <v/>
      </c>
      <c r="E61" s="14" t="n"/>
      <c r="F61" s="15" t="n"/>
    </row>
    <row r="62" ht="20" customHeight="1">
      <c r="A62" s="5" t="inlineStr">
        <is>
          <t>Pair 5</t>
        </is>
      </c>
      <c r="B62" s="19">
        <f>IF(D55&gt;=$B$9,"Yes","No")</f>
        <v/>
      </c>
      <c r="C62" s="19">
        <f>IF(F55&gt;=$B$10,"Yes","No")</f>
        <v/>
      </c>
      <c r="D62" s="27">
        <f>IF(AND(D55&gt;=$B$9,F55&gt;=$B$10),"BOTH TRIPS FLAGGED - pair disagrees","Not flagged - trips agree")</f>
        <v/>
      </c>
      <c r="E62" s="14" t="n"/>
      <c r="F62" s="15" t="n"/>
    </row>
    <row r="64" ht="22" customHeight="1">
      <c r="A64" s="3" t="inlineStr">
        <is>
          <t>5. Summary - which rule applies to a lane</t>
        </is>
      </c>
    </row>
    <row r="65" ht="32" customHeight="1">
      <c r="A65" s="4" t="inlineStr">
        <is>
          <t>Trips on the lane</t>
        </is>
      </c>
      <c r="B65" s="4" t="inlineStr">
        <is>
          <t>Rule</t>
        </is>
      </c>
      <c r="C65" s="4" t="inlineStr">
        <is>
          <t>Who gets flagged</t>
        </is>
      </c>
      <c r="D65" s="14" t="n"/>
      <c r="E65" s="14" t="n"/>
      <c r="F65" s="15" t="n"/>
    </row>
    <row r="66" ht="32" customHeight="1">
      <c r="A66" s="5" t="inlineStr">
        <is>
          <t>0 usable values</t>
        </is>
      </c>
      <c r="B66" s="6" t="inlineStr">
        <is>
          <t>Nothing to judge</t>
        </is>
      </c>
      <c r="C66" s="6" t="inlineStr">
        <is>
          <t>Nobody</t>
        </is>
      </c>
    </row>
    <row r="67" ht="32" customHeight="1">
      <c r="A67" s="5" t="inlineStr">
        <is>
          <t>1 trip</t>
        </is>
      </c>
      <c r="B67" s="6" t="inlineStr">
        <is>
          <t>The trip is its own baseline</t>
        </is>
      </c>
      <c r="C67" s="6" t="inlineStr">
        <is>
          <t>Nobody</t>
        </is>
      </c>
    </row>
    <row r="68" ht="32" customHeight="1">
      <c r="A68" s="5" t="inlineStr">
        <is>
          <t>2 trips</t>
        </is>
      </c>
      <c r="B68" s="6" t="inlineStr">
        <is>
          <t>Gap &gt;= 3 days AND ratio &gt;= 1.5x</t>
        </is>
      </c>
      <c r="C68" s="6" t="inlineStr">
        <is>
          <t>Both trips, for review (we cannot tell which is wrong)</t>
        </is>
      </c>
    </row>
    <row r="69" ht="32" customHeight="1">
      <c r="A69" s="5" t="inlineStr">
        <is>
          <t>3 or more trips</t>
        </is>
      </c>
      <c r="B69" s="6" t="inlineStr">
        <is>
          <t>5th-95th percentile range, then 15% margin</t>
        </is>
      </c>
      <c r="C69" s="6" t="inlineStr">
        <is>
          <t>Trips more than 15% below the lower fence or above the upper fence</t>
        </is>
      </c>
    </row>
    <row r="71" ht="22" customHeight="1">
      <c r="A71" s="3" t="inlineStr">
        <is>
          <t>6. Good to know</t>
        </is>
      </c>
    </row>
    <row r="72" ht="32" customHeight="1">
      <c r="A72" s="7" t="inlineStr">
        <is>
          <t>- The Lower Fence / Upper Fence columns in the app show the 5th-95th percentile range from step 3. The 15% margin is applied only when deciding whether to flag, so a flagged trip can sit a little beyond the Upper Fence value shown.</t>
        </is>
      </c>
    </row>
    <row r="73" ht="32" customHeight="1">
      <c r="A73" s="7" t="inlineStr">
        <is>
          <t>- A 5th-95th percentile range always has 'ends', so without a margin the shortest and longest trip of almost every lane would be flagged. The margin is what stops borderline trips from being reported.</t>
        </is>
      </c>
    </row>
    <row r="74" ht="32" customHeight="1">
      <c r="A74" s="7" t="inlineStr">
        <is>
          <t>- On very short lanes (for example 1.6 to 2.4 days) 15% is a small number of days, so those lanes stay fairly sensitive. A minimum margin of about half a day can be added if that proves too noisy.</t>
        </is>
      </c>
    </row>
    <row r="75" ht="18" customHeight="1">
      <c r="A75" s="7" t="inlineStr">
        <is>
          <t>- Percentiles here use the same method as Excel's PERCENTILE function (linear interpolation), so the numbers in this sheet match the application.</t>
        </is>
      </c>
    </row>
  </sheetData>
  <mergeCells count="58">
    <mergeCell ref="A16:F16"/>
    <mergeCell ref="C8:F8"/>
    <mergeCell ref="D41:F41"/>
    <mergeCell ref="D61:F61"/>
    <mergeCell ref="A75:F75"/>
    <mergeCell ref="F37"/>
    <mergeCell ref="C7:F7"/>
    <mergeCell ref="F39"/>
    <mergeCell ref="A74:F74"/>
    <mergeCell ref="C67:F67"/>
    <mergeCell ref="A12:F12"/>
    <mergeCell ref="A26:F26"/>
    <mergeCell ref="C66:F66"/>
    <mergeCell ref="A2:F2"/>
    <mergeCell ref="A71:F71"/>
    <mergeCell ref="C69:F69"/>
    <mergeCell ref="A14:F14"/>
    <mergeCell ref="D62:F62"/>
    <mergeCell ref="F29"/>
    <mergeCell ref="C6:F6"/>
    <mergeCell ref="D18:F18"/>
    <mergeCell ref="D58:F58"/>
    <mergeCell ref="C68:F68"/>
    <mergeCell ref="F34"/>
    <mergeCell ref="A4:F4"/>
    <mergeCell ref="C5:F5"/>
    <mergeCell ref="A72:F72"/>
    <mergeCell ref="A43:F43"/>
    <mergeCell ref="F40"/>
    <mergeCell ref="A13:F13"/>
    <mergeCell ref="D23:F23"/>
    <mergeCell ref="A44:F44"/>
    <mergeCell ref="F30"/>
    <mergeCell ref="D59:F59"/>
    <mergeCell ref="D60:F60"/>
    <mergeCell ref="F33"/>
    <mergeCell ref="C10:F10"/>
    <mergeCell ref="A48:F48"/>
    <mergeCell ref="D20:F20"/>
    <mergeCell ref="F36"/>
    <mergeCell ref="A15:F15"/>
    <mergeCell ref="A64:F64"/>
    <mergeCell ref="C65:F65"/>
    <mergeCell ref="A73:F73"/>
    <mergeCell ref="C9:F9"/>
    <mergeCell ref="D19:F19"/>
    <mergeCell ref="F32"/>
    <mergeCell ref="F35"/>
    <mergeCell ref="A49:F49"/>
    <mergeCell ref="A1:F1"/>
    <mergeCell ref="D46:F46"/>
    <mergeCell ref="D22:F22"/>
    <mergeCell ref="D45:F45"/>
    <mergeCell ref="F38"/>
    <mergeCell ref="D21:F21"/>
    <mergeCell ref="D57:F57"/>
    <mergeCell ref="A25:F25"/>
    <mergeCell ref="F31"/>
  </mergeCells>
  <conditionalFormatting sqref="D29:D40">
    <cfRule type="expression" priority="1" dxfId="0">
      <formula>ISNUMBER(SEARCH("FLAGGED",D29))</formula>
    </cfRule>
  </conditionalFormatting>
  <conditionalFormatting sqref="C29:C40">
    <cfRule type="expression" priority="2" dxfId="1">
      <formula>C29="Yes"</formula>
    </cfRule>
  </conditionalFormatting>
  <conditionalFormatting sqref="D58:D62">
    <cfRule type="expression" priority="3" dxfId="0">
      <formula>ISNUMBER(SEARCH("FLAGGED",D58))</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tabColor rgb="00152C73"/>
    <outlinePr summaryBelow="1" summaryRight="1"/>
    <pageSetUpPr fitToPage="1"/>
  </sheetPr>
  <dimension ref="A1:G53"/>
  <sheetViews>
    <sheetView showGridLines="0" workbookViewId="0">
      <selection activeCell="A1" sqref="A1"/>
    </sheetView>
  </sheetViews>
  <sheetFormatPr baseColWidth="8" defaultRowHeight="15"/>
  <cols>
    <col width="30" customWidth="1" min="1" max="1"/>
    <col width="14" customWidth="1" min="2" max="2"/>
    <col width="14" customWidth="1" min="3" max="3"/>
    <col width="16" customWidth="1" min="4" max="4"/>
    <col width="18" customWidth="1" min="5" max="5"/>
    <col width="18" customWidth="1" min="6" max="6"/>
    <col width="46" customWidth="1" min="7" max="7"/>
  </cols>
  <sheetData>
    <row r="1" ht="30" customHeight="1">
      <c r="A1" s="1" t="inlineStr">
        <is>
          <t>Temperature Outlier Detection</t>
        </is>
      </c>
    </row>
    <row r="2" ht="18" customHeight="1">
      <c r="A2" s="2" t="inlineStr">
        <is>
          <t>Is this trip's mean temperature unusual? Trips are grouped by Product and compared with that product's own average.</t>
        </is>
      </c>
    </row>
    <row r="4" ht="22" customHeight="1">
      <c r="A4" s="3" t="inlineStr">
        <is>
          <t>1. Settings (change these and the examples recalculate)</t>
        </is>
      </c>
    </row>
    <row r="5">
      <c r="A5" s="5" t="inlineStr">
        <is>
          <t>Standard deviation multiplier</t>
        </is>
      </c>
      <c r="B5" s="12" t="n">
        <v>2</v>
      </c>
      <c r="C5" s="9" t="inlineStr">
        <is>
          <t>How far above the product average a trip must be to be 'too warm' (in standard deviations).</t>
        </is>
      </c>
      <c r="D5" s="10" t="n"/>
      <c r="E5" s="10" t="n"/>
      <c r="F5" s="10" t="n"/>
      <c r="G5" s="10" t="n"/>
    </row>
    <row r="6">
      <c r="A6" s="5" t="inlineStr">
        <is>
          <t>Min trips per product</t>
        </is>
      </c>
      <c r="B6" s="11" t="n">
        <v>3</v>
      </c>
      <c r="C6" s="9" t="inlineStr">
        <is>
          <t>Products with fewer trips are not judged for 'too warm' (too little data to know what is normal).</t>
        </is>
      </c>
      <c r="D6" s="10" t="n"/>
      <c r="E6" s="10" t="n"/>
      <c r="F6" s="10" t="n"/>
      <c r="G6" s="10" t="n"/>
    </row>
    <row r="8" ht="22" customHeight="1">
      <c r="A8" s="3" t="inlineStr">
        <is>
          <t>2. Example A - product 'Kiwi' with 12 trips</t>
        </is>
      </c>
    </row>
    <row r="9" ht="18" customHeight="1">
      <c r="A9" s="13" t="inlineStr">
        <is>
          <t>Step 1 - Group by product. All Kiwi trips are compared with each other. Each trip has its own mean temperature and its own configured Low limit.</t>
        </is>
      </c>
    </row>
    <row r="10" ht="32" customHeight="1">
      <c r="A10" s="13" t="inlineStr">
        <is>
          <t>Step 2 - Draw the average line: the average of all the Kiwi trips' mean temperatures. Roughly half of all trips will always sit above an average, so being above it is NOT enough to call a trip an outlier.</t>
        </is>
      </c>
    </row>
    <row r="11" ht="32" customHeight="1">
      <c r="A11" s="13" t="inlineStr">
        <is>
          <t>Step 3 - Draw the outlier line: average + 2 standard deviations. The standard deviation measures how spread out the trips normally are. Only trips above THIS line are extreme enough to be 'too warm'.</t>
        </is>
      </c>
    </row>
    <row r="12" ht="18" customHeight="1">
      <c r="A12" s="13" t="inlineStr">
        <is>
          <t>Step 4 - Too cold is simpler: any trip whose mean is below its own Low limit is flagged, with no statistics needed.</t>
        </is>
      </c>
    </row>
    <row r="14" ht="32" customHeight="1">
      <c r="A14" s="4" t="inlineStr">
        <is>
          <t>Calculation</t>
        </is>
      </c>
      <c r="B14" s="4" t="inlineStr">
        <is>
          <t>Result</t>
        </is>
      </c>
      <c r="C14" s="4" t="inlineStr">
        <is>
          <t>Meaning</t>
        </is>
      </c>
      <c r="D14" s="14" t="n"/>
      <c r="E14" s="14" t="n"/>
      <c r="F14" s="14" t="n"/>
      <c r="G14" s="15" t="n"/>
    </row>
    <row r="15" ht="20" customHeight="1">
      <c r="A15" s="5" t="inlineStr">
        <is>
          <t>Trips in this product</t>
        </is>
      </c>
      <c r="B15" s="16">
        <f>COUNT($B$24:$B$35)</f>
        <v/>
      </c>
      <c r="C15" s="9" t="inlineStr">
        <is>
          <t>Number of trips with a mean temperature.</t>
        </is>
      </c>
      <c r="D15" s="10" t="n"/>
      <c r="E15" s="10" t="n"/>
      <c r="F15" s="10" t="n"/>
      <c r="G15" s="10" t="n"/>
    </row>
    <row r="16" ht="20" customHeight="1">
      <c r="A16" s="5" t="inlineStr">
        <is>
          <t>Average line</t>
        </is>
      </c>
      <c r="B16" s="17">
        <f>AVERAGE($B$24:$B$35)</f>
        <v/>
      </c>
      <c r="C16" s="9" t="inlineStr">
        <is>
          <t>Average of the trips' mean temperatures.</t>
        </is>
      </c>
      <c r="D16" s="10" t="n"/>
      <c r="E16" s="10" t="n"/>
      <c r="F16" s="10" t="n"/>
      <c r="G16" s="10" t="n"/>
    </row>
    <row r="17" ht="20" customHeight="1">
      <c r="A17" s="5" t="inlineStr">
        <is>
          <t>Standard deviation</t>
        </is>
      </c>
      <c r="B17" s="17">
        <f>STDEV($B$24:$B$35)</f>
        <v/>
      </c>
      <c r="C17" s="9" t="inlineStr">
        <is>
          <t>How spread out the trips are (sample standard deviation).</t>
        </is>
      </c>
      <c r="D17" s="10" t="n"/>
      <c r="E17" s="10" t="n"/>
      <c r="F17" s="10" t="n"/>
      <c r="G17" s="10" t="n"/>
    </row>
    <row r="18" ht="20" customHeight="1">
      <c r="A18" s="5" t="inlineStr">
        <is>
          <t>Outlier line (too warm above)</t>
        </is>
      </c>
      <c r="B18" s="17">
        <f>IF(AND(B15&gt;=$B$6,B17&gt;0),B16+$B$5*B17,"n/a")</f>
        <v/>
      </c>
      <c r="C18" s="9" t="inlineStr">
        <is>
          <t>Average + 2 x standard deviation. 'n/a' when there are too few trips or no spread.</t>
        </is>
      </c>
      <c r="D18" s="10" t="n"/>
      <c r="E18" s="10" t="n"/>
      <c r="F18" s="10" t="n"/>
      <c r="G18" s="10" t="n"/>
    </row>
    <row r="20" ht="32" customHeight="1">
      <c r="A20" s="13" t="inlineStr">
        <is>
          <t>Step 5 - Judge every trip. Compare column D (above average?) with column F (what the app flags): many trips are above the average, but only the extreme one is flagged.</t>
        </is>
      </c>
    </row>
    <row r="21" ht="18" customHeight="1">
      <c r="A21" s="2" t="inlineStr">
        <is>
          <t>Trip 3450011 (5.2) is above average but below the outlier line, so it is NOT flagged. Trip 3450010 (-0.3) is below its Low limit of 0, so it is flagged 'too cold'.</t>
        </is>
      </c>
    </row>
    <row r="22" ht="6" customHeight="1"/>
    <row r="23" ht="32" customHeight="1">
      <c r="A23" s="4" t="inlineStr">
        <is>
          <t>Trip ID</t>
        </is>
      </c>
      <c r="B23" s="4" t="inlineStr">
        <is>
          <t>Mean temp (deg)</t>
        </is>
      </c>
      <c r="C23" s="4" t="inlineStr">
        <is>
          <t>Low limit (deg)</t>
        </is>
      </c>
      <c r="D23" s="4" t="inlineStr">
        <is>
          <t>Above the average?</t>
        </is>
      </c>
      <c r="E23" s="4" t="inlineStr">
        <is>
          <t>Above the outlier line?</t>
        </is>
      </c>
      <c r="F23" s="4" t="inlineStr">
        <is>
          <t>Status (what the app shows)</t>
        </is>
      </c>
      <c r="G23" s="4" t="inlineStr">
        <is>
          <t>Why</t>
        </is>
      </c>
    </row>
    <row r="24" ht="18" customHeight="1">
      <c r="A24" s="20" t="n">
        <v>3450001</v>
      </c>
      <c r="B24" s="18" t="n">
        <v>3</v>
      </c>
      <c r="C24" s="18" t="n">
        <v>0</v>
      </c>
      <c r="D24" s="19">
        <f>IF(B24&gt;$B$16,"Yes","No")</f>
        <v/>
      </c>
      <c r="E24" s="19">
        <f>IF(ISNUMBER($B$18),IF(B24&gt;$B$18,"Yes","No"),"n/a")</f>
        <v/>
      </c>
      <c r="F24" s="20">
        <f>IF(AND(ISNUMBER($B$18),B24&gt;$B$18),"TOO WARM",IF(B24&lt;C24,"TOO COLD","In spec"))</f>
        <v/>
      </c>
      <c r="G24" s="9" t="inlineStr">
        <is>
          <t>Within normal variation for this product.</t>
        </is>
      </c>
    </row>
    <row r="25" ht="18" customHeight="1">
      <c r="A25" s="20" t="n">
        <v>3450002</v>
      </c>
      <c r="B25" s="18" t="n">
        <v>3.2</v>
      </c>
      <c r="C25" s="18" t="n">
        <v>0</v>
      </c>
      <c r="D25" s="19">
        <f>IF(B25&gt;$B$16,"Yes","No")</f>
        <v/>
      </c>
      <c r="E25" s="19">
        <f>IF(ISNUMBER($B$18),IF(B25&gt;$B$18,"Yes","No"),"n/a")</f>
        <v/>
      </c>
      <c r="F25" s="20">
        <f>IF(AND(ISNUMBER($B$18),B25&gt;$B$18),"TOO WARM",IF(B25&lt;C25,"TOO COLD","In spec"))</f>
        <v/>
      </c>
      <c r="G25" s="9" t="inlineStr">
        <is>
          <t>Within normal variation for this product.</t>
        </is>
      </c>
    </row>
    <row r="26" ht="18" customHeight="1">
      <c r="A26" s="20" t="n">
        <v>3450003</v>
      </c>
      <c r="B26" s="18" t="n">
        <v>3.4</v>
      </c>
      <c r="C26" s="18" t="n">
        <v>0</v>
      </c>
      <c r="D26" s="19">
        <f>IF(B26&gt;$B$16,"Yes","No")</f>
        <v/>
      </c>
      <c r="E26" s="19">
        <f>IF(ISNUMBER($B$18),IF(B26&gt;$B$18,"Yes","No"),"n/a")</f>
        <v/>
      </c>
      <c r="F26" s="20">
        <f>IF(AND(ISNUMBER($B$18),B26&gt;$B$18),"TOO WARM",IF(B26&lt;C26,"TOO COLD","In spec"))</f>
        <v/>
      </c>
      <c r="G26" s="9" t="inlineStr">
        <is>
          <t>Within normal variation for this product.</t>
        </is>
      </c>
    </row>
    <row r="27" ht="18" customHeight="1">
      <c r="A27" s="20" t="n">
        <v>3450004</v>
      </c>
      <c r="B27" s="18" t="n">
        <v>3.1</v>
      </c>
      <c r="C27" s="18" t="n">
        <v>0</v>
      </c>
      <c r="D27" s="19">
        <f>IF(B27&gt;$B$16,"Yes","No")</f>
        <v/>
      </c>
      <c r="E27" s="19">
        <f>IF(ISNUMBER($B$18),IF(B27&gt;$B$18,"Yes","No"),"n/a")</f>
        <v/>
      </c>
      <c r="F27" s="20">
        <f>IF(AND(ISNUMBER($B$18),B27&gt;$B$18),"TOO WARM",IF(B27&lt;C27,"TOO COLD","In spec"))</f>
        <v/>
      </c>
      <c r="G27" s="9" t="inlineStr">
        <is>
          <t>Within normal variation for this product.</t>
        </is>
      </c>
    </row>
    <row r="28" ht="18" customHeight="1">
      <c r="A28" s="20" t="n">
        <v>3450005</v>
      </c>
      <c r="B28" s="18" t="n">
        <v>3.3</v>
      </c>
      <c r="C28" s="18" t="n">
        <v>0</v>
      </c>
      <c r="D28" s="19">
        <f>IF(B28&gt;$B$16,"Yes","No")</f>
        <v/>
      </c>
      <c r="E28" s="19">
        <f>IF(ISNUMBER($B$18),IF(B28&gt;$B$18,"Yes","No"),"n/a")</f>
        <v/>
      </c>
      <c r="F28" s="20">
        <f>IF(AND(ISNUMBER($B$18),B28&gt;$B$18),"TOO WARM",IF(B28&lt;C28,"TOO COLD","In spec"))</f>
        <v/>
      </c>
      <c r="G28" s="9" t="inlineStr">
        <is>
          <t>Within normal variation for this product.</t>
        </is>
      </c>
    </row>
    <row r="29" ht="18" customHeight="1">
      <c r="A29" s="20" t="n">
        <v>3450006</v>
      </c>
      <c r="B29" s="18" t="n">
        <v>2.9</v>
      </c>
      <c r="C29" s="18" t="n">
        <v>0</v>
      </c>
      <c r="D29" s="19">
        <f>IF(B29&gt;$B$16,"Yes","No")</f>
        <v/>
      </c>
      <c r="E29" s="19">
        <f>IF(ISNUMBER($B$18),IF(B29&gt;$B$18,"Yes","No"),"n/a")</f>
        <v/>
      </c>
      <c r="F29" s="20">
        <f>IF(AND(ISNUMBER($B$18),B29&gt;$B$18),"TOO WARM",IF(B29&lt;C29,"TOO COLD","In spec"))</f>
        <v/>
      </c>
      <c r="G29" s="9" t="inlineStr">
        <is>
          <t>Within normal variation for this product.</t>
        </is>
      </c>
    </row>
    <row r="30" ht="18" customHeight="1">
      <c r="A30" s="20" t="n">
        <v>3450007</v>
      </c>
      <c r="B30" s="18" t="n">
        <v>3.5</v>
      </c>
      <c r="C30" s="18" t="n">
        <v>0</v>
      </c>
      <c r="D30" s="19">
        <f>IF(B30&gt;$B$16,"Yes","No")</f>
        <v/>
      </c>
      <c r="E30" s="19">
        <f>IF(ISNUMBER($B$18),IF(B30&gt;$B$18,"Yes","No"),"n/a")</f>
        <v/>
      </c>
      <c r="F30" s="20">
        <f>IF(AND(ISNUMBER($B$18),B30&gt;$B$18),"TOO WARM",IF(B30&lt;C30,"TOO COLD","In spec"))</f>
        <v/>
      </c>
      <c r="G30" s="9" t="inlineStr">
        <is>
          <t>Within normal variation for this product.</t>
        </is>
      </c>
    </row>
    <row r="31" ht="18" customHeight="1">
      <c r="A31" s="20" t="n">
        <v>3450008</v>
      </c>
      <c r="B31" s="18" t="n">
        <v>3</v>
      </c>
      <c r="C31" s="18" t="n">
        <v>0</v>
      </c>
      <c r="D31" s="19">
        <f>IF(B31&gt;$B$16,"Yes","No")</f>
        <v/>
      </c>
      <c r="E31" s="19">
        <f>IF(ISNUMBER($B$18),IF(B31&gt;$B$18,"Yes","No"),"n/a")</f>
        <v/>
      </c>
      <c r="F31" s="20">
        <f>IF(AND(ISNUMBER($B$18),B31&gt;$B$18),"TOO WARM",IF(B31&lt;C31,"TOO COLD","In spec"))</f>
        <v/>
      </c>
      <c r="G31" s="9" t="inlineStr">
        <is>
          <t>Within normal variation for this product.</t>
        </is>
      </c>
    </row>
    <row r="32" ht="18" customHeight="1">
      <c r="A32" s="20" t="n">
        <v>3450009</v>
      </c>
      <c r="B32" s="18" t="n">
        <v>3.2</v>
      </c>
      <c r="C32" s="18" t="n">
        <v>0</v>
      </c>
      <c r="D32" s="19">
        <f>IF(B32&gt;$B$16,"Yes","No")</f>
        <v/>
      </c>
      <c r="E32" s="19">
        <f>IF(ISNUMBER($B$18),IF(B32&gt;$B$18,"Yes","No"),"n/a")</f>
        <v/>
      </c>
      <c r="F32" s="20">
        <f>IF(AND(ISNUMBER($B$18),B32&gt;$B$18),"TOO WARM",IF(B32&lt;C32,"TOO COLD","In spec"))</f>
        <v/>
      </c>
      <c r="G32" s="9" t="inlineStr">
        <is>
          <t>Within normal variation for this product.</t>
        </is>
      </c>
    </row>
    <row r="33" ht="30" customHeight="1">
      <c r="A33" s="20" t="n">
        <v>3450010</v>
      </c>
      <c r="B33" s="18" t="n">
        <v>-0.3</v>
      </c>
      <c r="C33" s="18" t="n">
        <v>0</v>
      </c>
      <c r="D33" s="19">
        <f>IF(B33&gt;$B$16,"Yes","No")</f>
        <v/>
      </c>
      <c r="E33" s="19">
        <f>IF(ISNUMBER($B$18),IF(B33&gt;$B$18,"Yes","No"),"n/a")</f>
        <v/>
      </c>
      <c r="F33" s="20">
        <f>IF(AND(ISNUMBER($B$18),B33&gt;$B$18),"TOO WARM",IF(B33&lt;C33,"TOO COLD","In spec"))</f>
        <v/>
      </c>
      <c r="G33" s="9" t="inlineStr">
        <is>
          <t>Below the Low limit (0), so flagged TOO COLD.</t>
        </is>
      </c>
    </row>
    <row r="34" ht="30" customHeight="1">
      <c r="A34" s="20" t="n">
        <v>3450011</v>
      </c>
      <c r="B34" s="18" t="n">
        <v>5.2</v>
      </c>
      <c r="C34" s="18" t="n">
        <v>0</v>
      </c>
      <c r="D34" s="19">
        <f>IF(B34&gt;$B$16,"Yes","No")</f>
        <v/>
      </c>
      <c r="E34" s="19">
        <f>IF(ISNUMBER($B$18),IF(B34&gt;$B$18,"Yes","No"),"n/a")</f>
        <v/>
      </c>
      <c r="F34" s="20">
        <f>IF(AND(ISNUMBER($B$18),B34&gt;$B$18),"TOO WARM",IF(B34&lt;C34,"TOO COLD","In spec"))</f>
        <v/>
      </c>
      <c r="G34" s="9" t="inlineStr">
        <is>
          <t>Above average, but below the outlier line: normal variation, NOT flagged.</t>
        </is>
      </c>
    </row>
    <row r="35" ht="30" customHeight="1">
      <c r="A35" s="20" t="n">
        <v>3450012</v>
      </c>
      <c r="B35" s="18" t="n">
        <v>13</v>
      </c>
      <c r="C35" s="18" t="n">
        <v>0</v>
      </c>
      <c r="D35" s="19">
        <f>IF(B35&gt;$B$16,"Yes","No")</f>
        <v/>
      </c>
      <c r="E35" s="19">
        <f>IF(ISNUMBER($B$18),IF(B35&gt;$B$18,"Yes","No"),"n/a")</f>
        <v/>
      </c>
      <c r="F35" s="20">
        <f>IF(AND(ISNUMBER($B$18),B35&gt;$B$18),"TOO WARM",IF(B35&lt;C35,"TOO COLD","In spec"))</f>
        <v/>
      </c>
      <c r="G35" s="9" t="inlineStr">
        <is>
          <t>Far above the outlier line: an extreme trip, flagged TOO WARM.</t>
        </is>
      </c>
    </row>
    <row r="36" ht="22" customHeight="1">
      <c r="A36" s="21" t="inlineStr">
        <is>
          <t>Totals</t>
        </is>
      </c>
      <c r="B36" s="28" t="inlineStr"/>
      <c r="C36" s="28" t="inlineStr"/>
      <c r="D36" s="23">
        <f>COUNTIF(D24:D35,"Yes")</f>
        <v/>
      </c>
      <c r="E36" s="22">
        <f>COUNTIF(E24:E35,"Yes")</f>
        <v/>
      </c>
      <c r="F36" s="22">
        <f>COUNTIF(F24:F35,"TOO*")</f>
        <v/>
      </c>
      <c r="G36" s="9" t="inlineStr">
        <is>
          <t>Above average vs flagged: the outlier line keeps only the extremes.</t>
        </is>
      </c>
    </row>
    <row r="38" ht="22" customHeight="1">
      <c r="A38" s="3" t="inlineStr">
        <is>
          <t>3. Example B - a product with too few trips</t>
        </is>
      </c>
    </row>
    <row r="39" ht="32" customHeight="1">
      <c r="A39" s="13" t="inlineStr">
        <is>
          <t>With only 2 trips (or all trips identical) there is no meaningful 'normal spread', so no outlier line is drawn and nothing is flagged as too warm. A trip below its Low limit is still flagged too cold.</t>
        </is>
      </c>
    </row>
    <row r="40" ht="32" customHeight="1">
      <c r="A40" s="4" t="inlineStr">
        <is>
          <t>Product</t>
        </is>
      </c>
      <c r="B40" s="4" t="inlineStr">
        <is>
          <t>Trip 1 (deg)</t>
        </is>
      </c>
      <c r="C40" s="4" t="inlineStr">
        <is>
          <t>Trip 2 (deg)</t>
        </is>
      </c>
      <c r="D40" s="4" t="inlineStr">
        <is>
          <t>Trips</t>
        </is>
      </c>
      <c r="E40" s="4" t="inlineStr">
        <is>
          <t>Outlier line</t>
        </is>
      </c>
      <c r="F40" s="4" t="inlineStr">
        <is>
          <t>Too warm?</t>
        </is>
      </c>
      <c r="G40" s="4" t="inlineStr">
        <is>
          <t>Note</t>
        </is>
      </c>
    </row>
    <row r="41" ht="30" customHeight="1">
      <c r="A41" s="5" t="inlineStr">
        <is>
          <t>Nectarines (2 trips)</t>
        </is>
      </c>
      <c r="B41" s="18" t="n">
        <v>2.5</v>
      </c>
      <c r="C41" s="18" t="n">
        <v>16.5</v>
      </c>
      <c r="D41" s="19">
        <f>COUNT(B41:C41)</f>
        <v/>
      </c>
      <c r="E41" s="29">
        <f>IF(AND(D41&gt;=$B$6,STDEV(B41:C41)&gt;0),AVERAGE(B41:C41)+$B$5*STDEV(B41:C41),"n/a")</f>
        <v/>
      </c>
      <c r="F41" s="20">
        <f>IF(ISNUMBER(E41),IF(MAX(B41:C41)&gt;E41,"Yes","No"),"Not judged")</f>
        <v/>
      </c>
      <c r="G41" s="9" t="inlineStr">
        <is>
          <t>16.5 is very warm, but with 2 trips we cannot tell what is normal.</t>
        </is>
      </c>
    </row>
    <row r="43" ht="22" customHeight="1">
      <c r="A43" s="3" t="inlineStr">
        <is>
          <t>4. Summary - the two temperature outcomes</t>
        </is>
      </c>
    </row>
    <row r="44" ht="32" customHeight="1">
      <c r="A44" s="4" t="inlineStr">
        <is>
          <t>Outcome</t>
        </is>
      </c>
      <c r="B44" s="4" t="inlineStr">
        <is>
          <t>Rule</t>
        </is>
      </c>
      <c r="C44" s="14" t="n"/>
      <c r="D44" s="14" t="n"/>
      <c r="E44" s="14" t="n"/>
      <c r="F44" s="15" t="n"/>
      <c r="G44" s="4" t="inlineStr">
        <is>
          <t>Notes</t>
        </is>
      </c>
    </row>
    <row r="45" ht="44" customHeight="1">
      <c r="A45" s="5" t="inlineStr">
        <is>
          <t>TOO WARM</t>
        </is>
      </c>
      <c r="B45" s="6" t="inlineStr">
        <is>
          <t>Mean temp &gt; product average + 2 standard deviations</t>
        </is>
      </c>
      <c r="G45" s="6" t="inlineStr">
        <is>
          <t>Needs at least 3 trips and some spread. Compared with the product's own trips, not a fixed limit.</t>
        </is>
      </c>
    </row>
    <row r="46" ht="44" customHeight="1">
      <c r="A46" s="5" t="inlineStr">
        <is>
          <t>TOO COLD</t>
        </is>
      </c>
      <c r="B46" s="6" t="inlineStr">
        <is>
          <t>Mean temp &lt; the trip's own Low limit</t>
        </is>
      </c>
      <c r="G46" s="6" t="inlineStr">
        <is>
          <t>A hard spec breach; no statistics. The Low limit comes from each trip's configuration.</t>
        </is>
      </c>
    </row>
    <row r="47" ht="44" customHeight="1">
      <c r="A47" s="5" t="inlineStr">
        <is>
          <t>In spec</t>
        </is>
      </c>
      <c r="B47" s="6" t="inlineStr">
        <is>
          <t>Everything else</t>
        </is>
      </c>
      <c r="G47" s="6" t="inlineStr">
        <is>
          <t>Includes trips above average but not extreme.</t>
        </is>
      </c>
    </row>
    <row r="49" ht="22" customHeight="1">
      <c r="A49" s="3" t="inlineStr">
        <is>
          <t>5. Good to know</t>
        </is>
      </c>
    </row>
    <row r="50" ht="32" customHeight="1">
      <c r="A50" s="7" t="inlineStr">
        <is>
          <t>- On the product chart the app draws two dashed lines: the grey average line and the amber outlier line. Bars above the amber line turn red (too warm). The Low limit is used for the too-cold flag but is not drawn.</t>
        </is>
      </c>
    </row>
    <row r="51" ht="32" customHeight="1">
      <c r="A51" s="7" t="inlineStr">
        <is>
          <t>- Weakness of using the average and standard deviation: one very extreme trip raises both, which can lift the outlier line high enough to hide a milder warm trip. Here the 13.0 trip pushes the line to about 10.1, so a trip at 7 or 8 would not be flagged. A median-based version would resist this.</t>
        </is>
      </c>
    </row>
    <row r="52" ht="32" customHeight="1">
      <c r="A52" s="7" t="inlineStr">
        <is>
          <t>- A trip above its High limit is not flagged unless it is also extreme for its product. If every above-limit trip should be flagged, an 'above High limit OR above the outlier line' rule can be added.</t>
        </is>
      </c>
    </row>
    <row r="53" ht="18" customHeight="1">
      <c r="A53" s="7" t="inlineStr">
        <is>
          <t>- Change the multiplier in B5 to see the effect: 1.5 flags more trips, 3 flags fewer.</t>
        </is>
      </c>
    </row>
  </sheetData>
  <mergeCells count="43">
    <mergeCell ref="G35"/>
    <mergeCell ref="B47:F47"/>
    <mergeCell ref="C6:G6"/>
    <mergeCell ref="A8:G8"/>
    <mergeCell ref="G26"/>
    <mergeCell ref="A53:G53"/>
    <mergeCell ref="C15:G15"/>
    <mergeCell ref="G29"/>
    <mergeCell ref="A4:G4"/>
    <mergeCell ref="A20:G20"/>
    <mergeCell ref="C5:G5"/>
    <mergeCell ref="A38:G38"/>
    <mergeCell ref="G25"/>
    <mergeCell ref="B46:F46"/>
    <mergeCell ref="C14:G14"/>
    <mergeCell ref="G41"/>
    <mergeCell ref="A43:G43"/>
    <mergeCell ref="G32"/>
    <mergeCell ref="A52:G52"/>
    <mergeCell ref="A10:G10"/>
    <mergeCell ref="G31"/>
    <mergeCell ref="A9:G9"/>
    <mergeCell ref="C16:G16"/>
    <mergeCell ref="A39:G39"/>
    <mergeCell ref="G36"/>
    <mergeCell ref="A11:G11"/>
    <mergeCell ref="A49:G49"/>
    <mergeCell ref="G27"/>
    <mergeCell ref="A51:G51"/>
    <mergeCell ref="B44:F44"/>
    <mergeCell ref="A1:G1"/>
    <mergeCell ref="G28"/>
    <mergeCell ref="C17:G17"/>
    <mergeCell ref="G34"/>
    <mergeCell ref="A21:G21"/>
    <mergeCell ref="A12:G12"/>
    <mergeCell ref="G30"/>
    <mergeCell ref="A50:G50"/>
    <mergeCell ref="A2:G2"/>
    <mergeCell ref="G33"/>
    <mergeCell ref="B45:F45"/>
    <mergeCell ref="G24"/>
    <mergeCell ref="C18:G18"/>
  </mergeCells>
  <conditionalFormatting sqref="F24:F35">
    <cfRule type="expression" priority="1" dxfId="0">
      <formula>ISNUMBER(SEARCH("TOO",F24))</formula>
    </cfRule>
  </conditionalFormatting>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2026-10-07T07:34:47Z</dcterms:created>
  <dcterms:modified xmlns:dcterms="http://purl.org/dc/terms/" xmlns:xsi="http://www.w3.org/2001/XMLSchema-instance" xsi:type="dcterms:W3CDTF">2026-10-07T07:34:47Z</dcterms:modified>
</cp:coreProperties>
</file>